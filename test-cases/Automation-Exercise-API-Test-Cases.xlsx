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ilerio\Music\Postman-API-Testing-Portfolio\test-cases\"/>
    </mc:Choice>
  </mc:AlternateContent>
  <xr:revisionPtr revIDLastSave="0" documentId="13_ncr:1_{22300DA2-0C1C-428A-A7B6-0A9257198792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Dashboard" sheetId="1" r:id="rId1"/>
    <sheet name="Test Cases" sheetId="2" r:id="rId2"/>
    <sheet name="Test Data" sheetId="3" r:id="rId3"/>
  </sheets>
  <definedNames>
    <definedName name="Z_44654D1E_1F77_4E7C_AD66_87ECA31EECB3_.wvu.FilterData" localSheetId="2" hidden="1">'Test Data'!$A$5:$E$26</definedName>
    <definedName name="Z_C2DEBDDF_752C_42D4_8536_A89A77990307_.wvu.FilterData" localSheetId="1" hidden="1">'Test Cases'!$A$6:$S$20</definedName>
  </definedNames>
  <calcPr calcId="181029"/>
  <customWorkbookViews>
    <customWorkbookView name="ApiTestData filter view" guid="{44654D1E-1F77-4E7C-AD66-87ECA31EECB3}" maximized="1" windowWidth="0" windowHeight="0" activeSheetId="0"/>
    <customWorkbookView name="ApiTestCases filter view" guid="{C2DEBDDF-752C-42D4-8536-A89A77990307}" maximized="1" windowWidth="0" windowHeight="0" activeSheetId="0"/>
  </customWorkbookViews>
</workbook>
</file>

<file path=xl/calcChain.xml><?xml version="1.0" encoding="utf-8"?>
<calcChain xmlns="http://schemas.openxmlformats.org/spreadsheetml/2006/main">
  <c r="B9" i="1" l="1"/>
  <c r="E8" i="1"/>
  <c r="B8" i="1"/>
  <c r="E7" i="1"/>
  <c r="B7" i="1"/>
  <c r="E6" i="1"/>
  <c r="B6" i="1"/>
  <c r="B10" i="1" s="1"/>
  <c r="E5" i="1"/>
  <c r="B5" i="1"/>
</calcChain>
</file>

<file path=xl/sharedStrings.xml><?xml version="1.0" encoding="utf-8"?>
<sst xmlns="http://schemas.openxmlformats.org/spreadsheetml/2006/main" count="363" uniqueCount="250">
  <si>
    <t>AUTOMATION EXERCISE API TEST PORTFOLIO</t>
  </si>
  <si>
    <t>Prepared by Reuben Jherico R. Silerio | Functional API Testing | Postman + Newman</t>
  </si>
  <si>
    <t>EXECUTION SUMMARY</t>
  </si>
  <si>
    <t>VALUE</t>
  </si>
  <si>
    <t>METHOD COVERAGE</t>
  </si>
  <si>
    <t>COUNT</t>
  </si>
  <si>
    <t>PROJECT PROFILE</t>
  </si>
  <si>
    <t>DETAIL</t>
  </si>
  <si>
    <t>Total Test Cases</t>
  </si>
  <si>
    <t>GET</t>
  </si>
  <si>
    <t>DETAILED API TEST CASES</t>
  </si>
  <si>
    <t>Base URL</t>
  </si>
  <si>
    <t>REUSABLE TEST DATA &amp; ENVIRONMENT VARIABLES</t>
  </si>
  <si>
    <t>https://automationexercise.com</t>
  </si>
  <si>
    <t>Passed</t>
  </si>
  <si>
    <t>Official API scenarios</t>
  </si>
  <si>
    <t>Project: Automation Exercise API | Owner: Reuben Jherico R. Silerio | Status cells include a dropdown</t>
  </si>
  <si>
    <t>https://automationexercise.com/api_list</t>
  </si>
  <si>
    <t>Important: verify both the transport-level HTTP status and the application-level JSON responseCode.</t>
  </si>
  <si>
    <t>POST</t>
  </si>
  <si>
    <t>Execution tip: run AE-API-011 → AE-API-013 → AE-API-014 → AE-API-012 for one complete account lifecycle.</t>
  </si>
  <si>
    <t>Reference Postman project</t>
  </si>
  <si>
    <t>API Cases</t>
  </si>
  <si>
    <t>https://github.com/RobertGitH/AutomationExerciseAPI</t>
  </si>
  <si>
    <t>Failed</t>
  </si>
  <si>
    <t>PUT</t>
  </si>
  <si>
    <t>Test Case ID</t>
  </si>
  <si>
    <t>Variable / Field</t>
  </si>
  <si>
    <t>Test Tool</t>
  </si>
  <si>
    <t>Postman</t>
  </si>
  <si>
    <t>Blocked</t>
  </si>
  <si>
    <t>DELETE</t>
  </si>
  <si>
    <t>Execution Order</t>
  </si>
  <si>
    <t>Sample or Pattern</t>
  </si>
  <si>
    <t>Used By</t>
  </si>
  <si>
    <t>CLI Runner</t>
  </si>
  <si>
    <t>Newman</t>
  </si>
  <si>
    <t>Purpose</t>
  </si>
  <si>
    <t>Scenario</t>
  </si>
  <si>
    <t>Not Run</t>
  </si>
  <si>
    <t>Sensitive?</t>
  </si>
  <si>
    <t>Type</t>
  </si>
  <si>
    <t>Test Type</t>
  </si>
  <si>
    <t>Functional API</t>
  </si>
  <si>
    <t>Priority</t>
  </si>
  <si>
    <t>Pass Rate</t>
  </si>
  <si>
    <t>Method</t>
  </si>
  <si>
    <t>baseUrl</t>
  </si>
  <si>
    <t>Endpoint</t>
  </si>
  <si>
    <t>Preconditions</t>
  </si>
  <si>
    <t>Request / Test Data</t>
  </si>
  <si>
    <t>Initial Status</t>
  </si>
  <si>
    <t>Test Steps</t>
  </si>
  <si>
    <t>Expected HTTP Status</t>
  </si>
  <si>
    <t>All requests</t>
  </si>
  <si>
    <t>Expected JSON Code</t>
  </si>
  <si>
    <t>Environment base URL</t>
  </si>
  <si>
    <t>Expected Result</t>
  </si>
  <si>
    <t>Actual HTTP Status</t>
  </si>
  <si>
    <t>No</t>
  </si>
  <si>
    <t>Actual JSON Code</t>
  </si>
  <si>
    <t>PORTFOLIO NOTES</t>
  </si>
  <si>
    <t>Actual Result</t>
  </si>
  <si>
    <t>Status</t>
  </si>
  <si>
    <t>Account lifecycle run order: Create Account → Update Account → Get User Detail → Delete Account.</t>
  </si>
  <si>
    <t>Evidence / Defect Link</t>
  </si>
  <si>
    <t>Remarks</t>
  </si>
  <si>
    <t>searchProduct</t>
  </si>
  <si>
    <t>AE-API-001</t>
  </si>
  <si>
    <t>SOURCES</t>
  </si>
  <si>
    <t>top</t>
  </si>
  <si>
    <t>Get all products</t>
  </si>
  <si>
    <t>AE-API-005</t>
  </si>
  <si>
    <t>Positive</t>
  </si>
  <si>
    <t>Valid product search keyword</t>
  </si>
  <si>
    <t>High</t>
  </si>
  <si>
    <t>{{baseUrl}}/api/productsList</t>
  </si>
  <si>
    <t>validEmail</t>
  </si>
  <si>
    <t>API is available</t>
  </si>
  <si>
    <t>qa.reuben+&lt;timestamp&gt;@example.com</t>
  </si>
  <si>
    <t>AE-API-007/011/012/013/014</t>
  </si>
  <si>
    <t>No body or parameters</t>
  </si>
  <si>
    <t>Unique portfolio test account</t>
  </si>
  <si>
    <t>1. Select GET.
2. Send the request.
3. Check status and product list schema.</t>
  </si>
  <si>
    <t>Yes</t>
  </si>
  <si>
    <t>Product list is returned and contains product data.</t>
  </si>
  <si>
    <t>validPassword</t>
  </si>
  <si>
    <t>Use a local secret variable</t>
  </si>
  <si>
    <t>Products were returned and all four assertions passed.</t>
  </si>
  <si>
    <t>AE-API-007/011/012/013</t>
  </si>
  <si>
    <t>Password for the test account</t>
  </si>
  <si>
    <t>https://drive.google.com/file/d/1FX62YJDZLNIeI7hJ-uA5lSWKriWwgIzI/view?usp=sharing</t>
  </si>
  <si>
    <t>invalidEmail</t>
  </si>
  <si>
    <t>not.registered@example.com</t>
  </si>
  <si>
    <t>AE-API-010</t>
  </si>
  <si>
    <t>Negative login data</t>
  </si>
  <si>
    <t>invalidPassword</t>
  </si>
  <si>
    <t>WrongPassword123!</t>
  </si>
  <si>
    <t>AE-API-002</t>
  </si>
  <si>
    <t>POST is not supported for products list</t>
  </si>
  <si>
    <t>Negative</t>
  </si>
  <si>
    <t>Medium</t>
  </si>
  <si>
    <t>name</t>
  </si>
  <si>
    <t>Reuben QA</t>
  </si>
  <si>
    <t>AE-API-011/013</t>
  </si>
  <si>
    <t>No body</t>
  </si>
  <si>
    <t>Account display name</t>
  </si>
  <si>
    <t>1. Select POST.
2. Send to productsList.
3. Validate the rejection message.</t>
  </si>
  <si>
    <t>Response states that POST is not supported.</t>
  </si>
  <si>
    <t>title</t>
  </si>
  <si>
    <t>Mr</t>
  </si>
  <si>
    <t>Account title</t>
  </si>
  <si>
    <t>POST method was rejected with the correct unsupported-method message.</t>
  </si>
  <si>
    <t>birth_date</t>
  </si>
  <si>
    <t>https://drive.google.com/file/d/1DvKhVre_To0Yt5Qk4jcGBUbOoCD5NY_f/view?usp=sharing</t>
  </si>
  <si>
    <t>31</t>
  </si>
  <si>
    <t>Date of birth day</t>
  </si>
  <si>
    <t>birth_month</t>
  </si>
  <si>
    <t>7</t>
  </si>
  <si>
    <t>AE-API-003</t>
  </si>
  <si>
    <t>Date of birth month</t>
  </si>
  <si>
    <t>Get all brands</t>
  </si>
  <si>
    <t>{{baseUrl}}/api/brandsList</t>
  </si>
  <si>
    <t>birth_year</t>
  </si>
  <si>
    <t>1. Select GET.
2. Send the request.
3. Check status and brands collection.</t>
  </si>
  <si>
    <t>Date of birth year</t>
  </si>
  <si>
    <t>Brands list is returned.</t>
  </si>
  <si>
    <t>Brands list returned successfully with the required fields.</t>
  </si>
  <si>
    <t>firstname</t>
  </si>
  <si>
    <t>https://drive.google.com/file/d/1MjQrMZzTeZVgX6WMxYCujJ5eQ39hc7re/view?usp=drive_link</t>
  </si>
  <si>
    <t>First name</t>
  </si>
  <si>
    <t>lastname</t>
  </si>
  <si>
    <t>Silerio</t>
  </si>
  <si>
    <t>AE-API-004</t>
  </si>
  <si>
    <t>Last name</t>
  </si>
  <si>
    <t>PUT is not supported for brands list</t>
  </si>
  <si>
    <t>company</t>
  </si>
  <si>
    <t>QA Portfolio</t>
  </si>
  <si>
    <t>Non-production sample company</t>
  </si>
  <si>
    <t>1. Select PUT.
2. Send to brandsList.
3. Validate the rejection message.</t>
  </si>
  <si>
    <t>Response states that PUT is not supported.</t>
  </si>
  <si>
    <t>address1</t>
  </si>
  <si>
    <t>123 Test Street</t>
  </si>
  <si>
    <t>PUT method was rejected with the expected unsupported-method message.</t>
  </si>
  <si>
    <t>Sample primary address</t>
  </si>
  <si>
    <t>address2</t>
  </si>
  <si>
    <t>https://drive.google.com/file/d/1YXpNs9e1c7AGR6p2fEuJKKZd3LrXMfVp/view?usp=sharing</t>
  </si>
  <si>
    <t>Unit 4</t>
  </si>
  <si>
    <t>Sample secondary address</t>
  </si>
  <si>
    <t>country</t>
  </si>
  <si>
    <t>Philippines</t>
  </si>
  <si>
    <t>Supported demo value used by sample project</t>
  </si>
  <si>
    <t>zipcode</t>
  </si>
  <si>
    <t>1000</t>
  </si>
  <si>
    <t>Sample postal code</t>
  </si>
  <si>
    <t>state</t>
  </si>
  <si>
    <t>Metro Manila</t>
  </si>
  <si>
    <t>Sample state or region</t>
  </si>
  <si>
    <t>Search for a product with a valid keyword</t>
  </si>
  <si>
    <t>city</t>
  </si>
  <si>
    <t>{{baseUrl}}/api/searchProduct</t>
  </si>
  <si>
    <t>test city</t>
  </si>
  <si>
    <t>form-data: search_product={{searchProduct}}</t>
  </si>
  <si>
    <t>1. Select POST.
2. Add form-data search_product.
3. Send and validate matching products.</t>
  </si>
  <si>
    <t>Sample city</t>
  </si>
  <si>
    <t>Matching searched products are returned.</t>
  </si>
  <si>
    <t>Search request using the keyword “top” returned a non-empty products array. Each returned product matched the keyword through its name, brand, or category, and all assertions passed.</t>
  </si>
  <si>
    <t>mobile_number</t>
  </si>
  <si>
    <t>09170000000</t>
  </si>
  <si>
    <t>https://drive.google.com/file/d/1Az_YevH4YYu-3eDner8nfeDoQ5akmQ8X/view?usp=sharing</t>
  </si>
  <si>
    <t>Fictional test number</t>
  </si>
  <si>
    <t>AE-API-006</t>
  </si>
  <si>
    <t>Search product without required parameter</t>
  </si>
  <si>
    <t>Omit search_product</t>
  </si>
  <si>
    <t>1. Select POST.
2. Leave search_product absent.
3. Send and validate the required-field error.</t>
  </si>
  <si>
    <t>Response reports that search_product is missing.</t>
  </si>
  <si>
    <t>The API returned the expected missing search_product parameter validation message, and all assertions passed</t>
  </si>
  <si>
    <t>https://drive.google.com/file/d/1zlGOgsTXixWHxTBE9a0VPO2ORU4LD1Oo/view?usp=sharing</t>
  </si>
  <si>
    <t>AE-API-007</t>
  </si>
  <si>
    <t>Verify login with valid credentials</t>
  </si>
  <si>
    <t>{{baseUrl}}/api/verifyLogin</t>
  </si>
  <si>
    <t>A registered test account exists</t>
  </si>
  <si>
    <t>form-data: email={{validEmail}}; password={{validPassword}}</t>
  </si>
  <si>
    <t>1. Add valid credentials as form-data.
2. Send.
3. Validate that the user exists.</t>
  </si>
  <si>
    <t>User exists message is returned.</t>
  </si>
  <si>
    <t>The API successfully verified the registered email and password and returned the expected “User exists!” message. All assertions passed.</t>
  </si>
  <si>
    <t>https://drive.google.com/file/d/10LU8eF9gkNG5wvG1kntXWIRrmAelGbQx/view?usp=sharing</t>
  </si>
  <si>
    <t>Valid test credentials were submitted using POST form-data and stored as environment variables.</t>
  </si>
  <si>
    <t>AE-API-008</t>
  </si>
  <si>
    <t>Verify login without email</t>
  </si>
  <si>
    <t>form-data: password={{validPassword}}; omit email</t>
  </si>
  <si>
    <t>1. Add password only.
2. Send.
3. Validate the missing email error.</t>
  </si>
  <si>
    <t>Response reports that email or password is missing.</t>
  </si>
  <si>
    <t>The API correctly rejected the login request without an email parameter and returned the expected missing email or password validation message.</t>
  </si>
  <si>
    <t>https://drive.google.com/file/d/18eew5vwUEFkCZwggZk1FpaVa87P-fX2s/view?usp=sharing</t>
  </si>
  <si>
    <t>Submitted only the password as POST form-data; email was omitted.</t>
  </si>
  <si>
    <t>AE-API-009</t>
  </si>
  <si>
    <t>DELETE is not supported for login verification</t>
  </si>
  <si>
    <t>1. Select DELETE.
2. Send to verifyLogin.
3. Validate the rejection message.</t>
  </si>
  <si>
    <t>Response states that DELETE is not supported.</t>
  </si>
  <si>
    <t>The API correctly rejected the DELETE method for login verification and returned the expected unsupported-method response. All four assertions passed.</t>
  </si>
  <si>
    <t>https://drive.google.com/file/d/1Jk5hq4lAA3Vv4CDcEiEjF4CDtnFTq972/view?usp=sharing</t>
  </si>
  <si>
    <t>DELETE was intentionally used to validate unsupported HTTP method handling.</t>
  </si>
  <si>
    <t>Verify login with invalid credentials</t>
  </si>
  <si>
    <t>form-data: email={{invalidEmail}}; password={{invalidPassword}}</t>
  </si>
  <si>
    <t>1. Add invalid credentials.
2. Send.
3. Validate user-not-found response.</t>
  </si>
  <si>
    <t>User not found message is returned.</t>
  </si>
  <si>
    <t>The API rejected the unregistered email and invalid password and returned the expected “User not found!” response. All assertions passed.</t>
  </si>
  <si>
    <t>https://drive.google.com/file/d/1uDWhY6a7zKW_EwX5CX-HIyY23jHQ6-sk/view?usp=sharing</t>
  </si>
  <si>
    <t>Invalid credentials were submitted as POST form-data using environment variables.</t>
  </si>
  <si>
    <t>AE-API-011</t>
  </si>
  <si>
    <t>Create a user account</t>
  </si>
  <si>
    <t>Critical</t>
  </si>
  <si>
    <t>{{baseUrl}}/api/createAccount</t>
  </si>
  <si>
    <t>A unique email is available</t>
  </si>
  <si>
    <t>Use all create-account fields from Test Data</t>
  </si>
  <si>
    <t>1. Generate a unique email.
2. Add all required form-data fields.
3. Send.
4. Validate user creation.</t>
  </si>
  <si>
    <t>User created message is returned.</t>
  </si>
  <si>
    <t>A new account was successfully created using dynamically generated email data and complete form-data fields. The API returned the expected “User created!” message, and all assertions passed.</t>
  </si>
  <si>
    <t>https://drive.google.com/file/d/1i3ZOqnMMEwMhlLTpXPpUP4E1ppd8NtFX/view?usp=sharing</t>
  </si>
  <si>
    <t>A unique email was generated using a Before request script and saved to the validEmail environment variable.</t>
  </si>
  <si>
    <t>AE-API-012</t>
  </si>
  <si>
    <t>Delete the test account</t>
  </si>
  <si>
    <t>{{baseUrl}}/api/deleteAccount</t>
  </si>
  <si>
    <t>Test account exists; update and retrieval checks are complete</t>
  </si>
  <si>
    <t>1. Add account credentials.
2. Send DELETE.
3. Validate deletion.
4. Confirm later login fails.</t>
  </si>
  <si>
    <t>Account deleted message is returned.</t>
  </si>
  <si>
    <t>HTTP status 200 and JSON responseCode 200 were returned. The response message displayed “Account deleted!”, confirming that the account was successfully deleted. All Postman assertions passed.</t>
  </si>
  <si>
    <t>https://drive.google.com/file/d/1qv1LqMPHoPsUv4LhQaY3FA_TA5eo4EoM/view?usp=sharing</t>
  </si>
  <si>
    <t>Run last; destructive cleanup</t>
  </si>
  <si>
    <t>AE-API-013</t>
  </si>
  <si>
    <t>Update the test account</t>
  </si>
  <si>
    <t>{{baseUrl}}/api/updateAccount</t>
  </si>
  <si>
    <t>The account created in AE-API-011 exists</t>
  </si>
  <si>
    <t>Use updated account fields from Test Data</t>
  </si>
  <si>
    <t>1. Add credentials and updated form-data.
2. Send PUT.
3. Validate update response.</t>
  </si>
  <si>
    <t>User updated message is returned.</t>
  </si>
  <si>
    <t>The existing account was successfully updated using the saved email and password. The API returned the expected “User updated!” message, and all assertions passed.</t>
  </si>
  <si>
    <t>https://drive.google.com/file/d/1Cxgl2hJoTFWsDV_VwjMZ1amhpKftXl7R/view?usp=sharing</t>
  </si>
  <si>
    <t>Updated selected account fields while preserving the credentials created by AE-API-011.</t>
  </si>
  <si>
    <t>AE-API-014</t>
  </si>
  <si>
    <t>Get user details by email</t>
  </si>
  <si>
    <t>{{baseUrl}}/api/getUserDetailByEmail</t>
  </si>
  <si>
    <t>The test account exists</t>
  </si>
  <si>
    <t>Query parameter: email={{validEmail}}</t>
  </si>
  <si>
    <t>1. Add email query parameter.
2. Send GET.
3. Validate identity fields and updated values.</t>
  </si>
  <si>
    <t>User detail is returned for the requested email.</t>
  </si>
  <si>
    <t>HTTP 200 and JSON responseCode 200 returned. User details were retrieved successfully, and the updated name, company, and city matched the expected values.</t>
  </si>
  <si>
    <t>https://drive.google.com/file/d/1NjeArHoESnBsXRnbnzkzRJIqaM9mdve7/view?usp=sharing</t>
  </si>
  <si>
    <t>Run before delete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</si>
</sst>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%"/>
  </numFmts>
  <fonts count="19">
    <font>
      <sz val="11"/>
      <color rgb="FF000000"/>
      <name val="Carlito"/>
      <scheme val="minor"/>
    </font>
    <font>
      <b/>
      <sz val="18"/>
      <color rgb="FFFFFFFF"/>
      <name val="Aptos"/>
    </font>
    <font>
      <sz val="10"/>
      <color theme="1"/>
      <name val="Aptos"/>
    </font>
    <font>
      <i/>
      <sz val="11"/>
      <color rgb="FF17365D"/>
      <name val="Aptos"/>
    </font>
    <font>
      <b/>
      <sz val="10"/>
      <color rgb="FFFFFFFF"/>
      <name val="Aptos"/>
    </font>
    <font>
      <b/>
      <sz val="10"/>
      <color rgb="FF595959"/>
      <name val="Aptos"/>
    </font>
    <font>
      <i/>
      <sz val="10"/>
      <color rgb="FF17365D"/>
      <name val="Aptos"/>
    </font>
    <font>
      <sz val="10"/>
      <color rgb="FF2F75B5"/>
      <name val="Aptos"/>
    </font>
    <font>
      <b/>
      <sz val="10"/>
      <color rgb="FF7F6000"/>
      <name val="Aptos"/>
    </font>
    <font>
      <sz val="10"/>
      <color rgb="FF375623"/>
      <name val="Aptos"/>
    </font>
    <font>
      <b/>
      <sz val="10"/>
      <color rgb="FF17365D"/>
      <name val="Aptos"/>
    </font>
    <font>
      <sz val="10"/>
      <color rgb="FF7F6000"/>
      <name val="Arial"/>
    </font>
    <font>
      <b/>
      <sz val="10"/>
      <color rgb="FFFFFFFF"/>
      <name val="Arial"/>
    </font>
    <font>
      <sz val="10"/>
      <color theme="1"/>
      <name val="Arial"/>
    </font>
    <font>
      <sz val="11"/>
      <name val="Carlito"/>
    </font>
    <font>
      <sz val="11"/>
      <color theme="1"/>
      <name val="Carlito"/>
      <scheme val="minor"/>
    </font>
    <font>
      <u/>
      <sz val="10"/>
      <color rgb="FF0000FF"/>
      <name val="Aptos"/>
    </font>
    <font>
      <b/>
      <sz val="10"/>
      <color rgb="FF17365D"/>
      <name val="Arial"/>
    </font>
    <font>
      <u/>
      <sz val="10"/>
      <color rgb="FF0000FF"/>
      <name val="Aptos"/>
    </font>
  </fonts>
  <fills count="7">
    <fill>
      <patternFill patternType="none"/>
    </fill>
    <fill>
      <patternFill patternType="gray125"/>
    </fill>
    <fill>
      <patternFill patternType="solid">
        <fgColor rgb="FF17365D"/>
        <bgColor rgb="FF17365D"/>
      </patternFill>
    </fill>
    <fill>
      <patternFill patternType="solid">
        <fgColor rgb="FFD9EAF7"/>
        <bgColor rgb="FFD9EAF7"/>
      </patternFill>
    </fill>
    <fill>
      <patternFill patternType="solid">
        <fgColor rgb="FF0F6B78"/>
        <bgColor rgb="FF0F6B78"/>
      </patternFill>
    </fill>
    <fill>
      <patternFill patternType="solid">
        <fgColor rgb="FFFFF2CC"/>
        <bgColor rgb="FFFFF2CC"/>
      </patternFill>
    </fill>
    <fill>
      <patternFill patternType="solid">
        <fgColor rgb="FFE2F0D9"/>
        <bgColor rgb="FFE2F0D9"/>
      </patternFill>
    </fill>
  </fills>
  <borders count="9">
    <border>
      <left/>
      <right/>
      <top/>
      <bottom/>
      <diagonal/>
    </border>
    <border>
      <left style="thin">
        <color rgb="FFB7C9D6"/>
      </left>
      <right/>
      <top style="thin">
        <color rgb="FFB7C9D6"/>
      </top>
      <bottom/>
      <diagonal/>
    </border>
    <border>
      <left/>
      <right style="thin">
        <color rgb="FFB7C9D6"/>
      </right>
      <top style="thin">
        <color rgb="FFB7C9D6"/>
      </top>
      <bottom/>
      <diagonal/>
    </border>
    <border>
      <left style="thin">
        <color rgb="FFB7C9D6"/>
      </left>
      <right/>
      <top/>
      <bottom/>
      <diagonal/>
    </border>
    <border>
      <left/>
      <right style="thin">
        <color rgb="FFB7C9D6"/>
      </right>
      <top/>
      <bottom/>
      <diagonal/>
    </border>
    <border>
      <left style="thin">
        <color rgb="FFB7C9D6"/>
      </left>
      <right/>
      <top/>
      <bottom style="thin">
        <color rgb="FFB7C9D6"/>
      </bottom>
      <diagonal/>
    </border>
    <border>
      <left/>
      <right style="thin">
        <color rgb="FFB7C9D6"/>
      </right>
      <top/>
      <bottom style="thin">
        <color rgb="FFB7C9D6"/>
      </bottom>
      <diagonal/>
    </border>
    <border>
      <left/>
      <right/>
      <top style="thin">
        <color rgb="FFB7C9D6"/>
      </top>
      <bottom/>
      <diagonal/>
    </border>
    <border>
      <left/>
      <right/>
      <top/>
      <bottom style="thin">
        <color rgb="FFB7C9D6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0" xfId="0" applyFont="1"/>
    <xf numFmtId="0" fontId="4" fillId="4" borderId="0" xfId="0" applyFont="1" applyFill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0" xfId="0" applyFont="1"/>
    <xf numFmtId="0" fontId="7" fillId="0" borderId="0" xfId="0" applyFont="1"/>
    <xf numFmtId="0" fontId="2" fillId="3" borderId="4" xfId="0" applyFont="1" applyFill="1" applyBorder="1" applyAlignment="1">
      <alignment vertical="center"/>
    </xf>
    <xf numFmtId="0" fontId="2" fillId="0" borderId="4" xfId="0" applyFont="1" applyBorder="1" applyAlignment="1">
      <alignment vertical="center"/>
    </xf>
    <xf numFmtId="0" fontId="4" fillId="4" borderId="0" xfId="0" applyFont="1" applyFill="1" applyAlignment="1">
      <alignment horizontal="center" vertical="center" wrapText="1"/>
    </xf>
    <xf numFmtId="0" fontId="5" fillId="0" borderId="5" xfId="0" applyFont="1" applyBorder="1" applyAlignment="1">
      <alignment vertical="center"/>
    </xf>
    <xf numFmtId="0" fontId="2" fillId="3" borderId="6" xfId="0" applyFont="1" applyFill="1" applyBorder="1" applyAlignment="1">
      <alignment vertical="center"/>
    </xf>
    <xf numFmtId="0" fontId="10" fillId="0" borderId="0" xfId="0" applyFont="1" applyAlignment="1">
      <alignment vertical="top" wrapText="1"/>
    </xf>
    <xf numFmtId="164" fontId="2" fillId="5" borderId="6" xfId="0" applyNumberFormat="1" applyFont="1" applyFill="1" applyBorder="1" applyAlignment="1">
      <alignment vertical="center"/>
    </xf>
    <xf numFmtId="0" fontId="2" fillId="0" borderId="0" xfId="0" applyFont="1" applyAlignment="1">
      <alignment vertical="top" wrapText="1"/>
    </xf>
    <xf numFmtId="0" fontId="2" fillId="0" borderId="6" xfId="0" applyFont="1" applyBorder="1" applyAlignment="1">
      <alignment vertical="center"/>
    </xf>
    <xf numFmtId="0" fontId="2" fillId="0" borderId="0" xfId="0" applyFont="1" applyAlignment="1">
      <alignment horizontal="center" vertical="top" wrapText="1"/>
    </xf>
    <xf numFmtId="0" fontId="12" fillId="4" borderId="0" xfId="0" applyFont="1" applyFill="1" applyAlignment="1">
      <alignment horizontal="center" vertical="center" wrapText="1"/>
    </xf>
    <xf numFmtId="0" fontId="13" fillId="0" borderId="0" xfId="0" applyFont="1" applyAlignment="1">
      <alignment vertical="top" wrapText="1"/>
    </xf>
    <xf numFmtId="0" fontId="5" fillId="0" borderId="1" xfId="0" applyFont="1" applyBorder="1"/>
    <xf numFmtId="0" fontId="5" fillId="0" borderId="5" xfId="0" applyFont="1" applyBorder="1"/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vertical="center" wrapText="1"/>
    </xf>
    <xf numFmtId="0" fontId="13" fillId="0" borderId="0" xfId="0" applyFont="1" applyAlignment="1">
      <alignment horizontal="center" vertical="top" wrapText="1"/>
    </xf>
    <xf numFmtId="0" fontId="16" fillId="0" borderId="0" xfId="0" applyFont="1" applyAlignment="1">
      <alignment horizontal="center" vertical="top" wrapText="1"/>
    </xf>
    <xf numFmtId="0" fontId="17" fillId="0" borderId="0" xfId="0" applyFont="1" applyAlignment="1">
      <alignment vertical="top" wrapText="1"/>
    </xf>
    <xf numFmtId="0" fontId="13" fillId="0" borderId="0" xfId="0" applyFont="1" applyAlignment="1">
      <alignment horizontal="center" vertical="center" wrapText="1"/>
    </xf>
    <xf numFmtId="0" fontId="18" fillId="0" borderId="0" xfId="0" applyFont="1" applyAlignment="1">
      <alignment vertical="top" wrapText="1"/>
    </xf>
    <xf numFmtId="0" fontId="2" fillId="0" borderId="0" xfId="0" applyFont="1" applyAlignment="1">
      <alignment horizontal="center" vertical="center" wrapText="1"/>
    </xf>
    <xf numFmtId="0" fontId="15" fillId="0" borderId="0" xfId="0" applyFont="1"/>
    <xf numFmtId="0" fontId="1" fillId="2" borderId="0" xfId="0" applyFont="1" applyFill="1" applyAlignment="1">
      <alignment horizontal="left" vertical="center"/>
    </xf>
    <xf numFmtId="0" fontId="0" fillId="0" borderId="0" xfId="0"/>
    <xf numFmtId="0" fontId="3" fillId="3" borderId="0" xfId="0" applyFont="1" applyFill="1" applyAlignment="1">
      <alignment vertical="center"/>
    </xf>
    <xf numFmtId="0" fontId="4" fillId="2" borderId="0" xfId="0" applyFont="1" applyFill="1"/>
    <xf numFmtId="0" fontId="11" fillId="5" borderId="0" xfId="0" applyFont="1" applyFill="1" applyAlignment="1">
      <alignment vertical="center" wrapText="1"/>
    </xf>
    <xf numFmtId="0" fontId="7" fillId="0" borderId="7" xfId="0" applyFont="1" applyBorder="1"/>
    <xf numFmtId="0" fontId="14" fillId="0" borderId="7" xfId="0" applyFont="1" applyBorder="1"/>
    <xf numFmtId="0" fontId="14" fillId="0" borderId="2" xfId="0" applyFont="1" applyBorder="1"/>
    <xf numFmtId="0" fontId="7" fillId="0" borderId="8" xfId="0" applyFont="1" applyBorder="1"/>
    <xf numFmtId="0" fontId="14" fillId="0" borderId="8" xfId="0" applyFont="1" applyBorder="1"/>
    <xf numFmtId="0" fontId="14" fillId="0" borderId="6" xfId="0" applyFont="1" applyBorder="1"/>
    <xf numFmtId="0" fontId="1" fillId="2" borderId="0" xfId="0" applyFont="1" applyFill="1" applyAlignment="1">
      <alignment vertical="center"/>
    </xf>
    <xf numFmtId="0" fontId="6" fillId="3" borderId="0" xfId="0" applyFont="1" applyFill="1"/>
    <xf numFmtId="0" fontId="8" fillId="5" borderId="0" xfId="0" applyFont="1" applyFill="1"/>
    <xf numFmtId="0" fontId="9" fillId="6" borderId="0" xfId="0" applyFont="1" applyFill="1"/>
  </cellXfs>
  <cellStyles count="1">
    <cellStyle name="Normal" xfId="0" builtinId="0"/>
  </cellStyles>
  <dxfs count="13">
    <dxf>
      <font>
        <b/>
        <color rgb="FF7F6000"/>
      </font>
      <fill>
        <patternFill patternType="solid">
          <fgColor rgb="FFFFF2CC"/>
          <bgColor rgb="FFFFF2CC"/>
        </patternFill>
      </fill>
    </dxf>
    <dxf>
      <font>
        <color rgb="FF595959"/>
      </font>
      <fill>
        <patternFill patternType="solid">
          <fgColor rgb="FFE7E6E6"/>
          <bgColor rgb="FFE7E6E6"/>
        </patternFill>
      </fill>
    </dxf>
    <dxf>
      <font>
        <b/>
        <color rgb="FF7F6000"/>
      </font>
      <fill>
        <patternFill patternType="solid">
          <fgColor rgb="FFFFF2CC"/>
          <bgColor rgb="FFFFF2CC"/>
        </patternFill>
      </fill>
    </dxf>
    <dxf>
      <font>
        <b/>
        <color rgb="FF990000"/>
      </font>
      <fill>
        <patternFill patternType="solid">
          <fgColor rgb="FFF4CCCC"/>
          <bgColor rgb="FFF4CCCC"/>
        </patternFill>
      </fill>
    </dxf>
    <dxf>
      <font>
        <b/>
        <color rgb="FF274E13"/>
      </font>
      <fill>
        <patternFill patternType="solid">
          <fgColor rgb="FFD9EAD3"/>
          <bgColor rgb="FFD9EAD3"/>
        </patternFill>
      </fill>
    </dxf>
    <dxf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theme="6"/>
          <bgColor theme="6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Test Cases-style" pivot="0" count="4" xr9:uid="{00000000-0011-0000-FFFF-FFFF00000000}">
      <tableStyleElement type="wholeTable" size="0" dxfId="9"/>
      <tableStyleElement type="headerRow" dxfId="12"/>
      <tableStyleElement type="firstRowStripe" dxfId="11"/>
      <tableStyleElement type="secondRowStripe" dxfId="10"/>
    </tableStyle>
    <tableStyle name="Test Data-style" pivot="0" count="4" xr9:uid="{00000000-0011-0000-FFFF-FFFF01000000}">
      <tableStyleElement type="wholeTable" size="0" dxfId="5"/>
      <tableStyleElement type="headerRow" dxfId="8"/>
      <tableStyleElement type="firstRowStripe" dxfId="7"/>
      <tableStyleElement type="secondRowStripe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ApiTestCases" displayName="ApiTestCases" ref="A6:S20">
  <tableColumns count="19">
    <tableColumn id="1" xr3:uid="{00000000-0010-0000-0000-000001000000}" name="Test Case ID"/>
    <tableColumn id="2" xr3:uid="{00000000-0010-0000-0000-000002000000}" name="Execution Order"/>
    <tableColumn id="3" xr3:uid="{00000000-0010-0000-0000-000003000000}" name="Scenario"/>
    <tableColumn id="4" xr3:uid="{00000000-0010-0000-0000-000004000000}" name="Type"/>
    <tableColumn id="5" xr3:uid="{00000000-0010-0000-0000-000005000000}" name="Priority"/>
    <tableColumn id="6" xr3:uid="{00000000-0010-0000-0000-000006000000}" name="Method"/>
    <tableColumn id="7" xr3:uid="{00000000-0010-0000-0000-000007000000}" name="Endpoint"/>
    <tableColumn id="8" xr3:uid="{00000000-0010-0000-0000-000008000000}" name="Preconditions"/>
    <tableColumn id="9" xr3:uid="{00000000-0010-0000-0000-000009000000}" name="Request / Test Data"/>
    <tableColumn id="10" xr3:uid="{00000000-0010-0000-0000-00000A000000}" name="Test Steps"/>
    <tableColumn id="11" xr3:uid="{00000000-0010-0000-0000-00000B000000}" name="Expected HTTP Status"/>
    <tableColumn id="12" xr3:uid="{00000000-0010-0000-0000-00000C000000}" name="Expected JSON Code"/>
    <tableColumn id="13" xr3:uid="{00000000-0010-0000-0000-00000D000000}" name="Expected Result"/>
    <tableColumn id="14" xr3:uid="{00000000-0010-0000-0000-00000E000000}" name="Actual HTTP Status"/>
    <tableColumn id="15" xr3:uid="{00000000-0010-0000-0000-00000F000000}" name="Actual JSON Code"/>
    <tableColumn id="16" xr3:uid="{00000000-0010-0000-0000-000010000000}" name="Actual Result"/>
    <tableColumn id="17" xr3:uid="{00000000-0010-0000-0000-000011000000}" name="Status"/>
    <tableColumn id="18" xr3:uid="{00000000-0010-0000-0000-000012000000}" name="Evidence / Defect Link"/>
    <tableColumn id="19" xr3:uid="{00000000-0010-0000-0000-000013000000}" name="Remarks"/>
  </tableColumns>
  <tableStyleInfo name="Test Case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ApiTestData" displayName="ApiTestData" ref="A5:E26">
  <tableColumns count="5">
    <tableColumn id="1" xr3:uid="{00000000-0010-0000-0100-000001000000}" name="Variable / Field"/>
    <tableColumn id="2" xr3:uid="{00000000-0010-0000-0100-000002000000}" name="Sample or Pattern"/>
    <tableColumn id="3" xr3:uid="{00000000-0010-0000-0100-000003000000}" name="Used By"/>
    <tableColumn id="4" xr3:uid="{00000000-0010-0000-0100-000004000000}" name="Purpose"/>
    <tableColumn id="5" xr3:uid="{00000000-0010-0000-0100-000005000000}" name="Sensitive?"/>
  </tableColumns>
  <tableStyleInfo name="Test Dat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8eew5vwUEFkCZwggZk1FpaVa87P-fX2s/view?usp=sharing" TargetMode="External"/><Relationship Id="rId13" Type="http://schemas.openxmlformats.org/officeDocument/2006/relationships/hyperlink" Target="https://drive.google.com/file/d/1Cxgl2hJoTFWsDV_VwjMZ1amhpKftXl7R/view?usp=sharing" TargetMode="External"/><Relationship Id="rId3" Type="http://schemas.openxmlformats.org/officeDocument/2006/relationships/hyperlink" Target="https://drive.google.com/file/d/1MjQrMZzTeZVgX6WMxYCujJ5eQ39hc7re/view?usp=drive_link" TargetMode="External"/><Relationship Id="rId7" Type="http://schemas.openxmlformats.org/officeDocument/2006/relationships/hyperlink" Target="https://drive.google.com/file/d/10LU8eF9gkNG5wvG1kntXWIRrmAelGbQx/view?usp=sharing" TargetMode="External"/><Relationship Id="rId12" Type="http://schemas.openxmlformats.org/officeDocument/2006/relationships/hyperlink" Target="https://drive.google.com/file/d/1qv1LqMPHoPsUv4LhQaY3FA_TA5eo4EoM/view?usp=sharing" TargetMode="External"/><Relationship Id="rId2" Type="http://schemas.openxmlformats.org/officeDocument/2006/relationships/hyperlink" Target="https://drive.google.com/file/d/1DvKhVre_To0Yt5Qk4jcGBUbOoCD5NY_f/view?usp=sharing" TargetMode="External"/><Relationship Id="rId1" Type="http://schemas.openxmlformats.org/officeDocument/2006/relationships/hyperlink" Target="https://drive.google.com/file/d/1FX62YJDZLNIeI7hJ-uA5lSWKriWwgIzI/view?usp=sharing" TargetMode="External"/><Relationship Id="rId6" Type="http://schemas.openxmlformats.org/officeDocument/2006/relationships/hyperlink" Target="https://drive.google.com/file/d/1zlGOgsTXixWHxTBE9a0VPO2ORU4LD1Oo/view?usp=sharing" TargetMode="External"/><Relationship Id="rId11" Type="http://schemas.openxmlformats.org/officeDocument/2006/relationships/hyperlink" Target="https://drive.google.com/file/d/1i3ZOqnMMEwMhlLTpXPpUP4E1ppd8NtFX/view?usp=sharing" TargetMode="External"/><Relationship Id="rId5" Type="http://schemas.openxmlformats.org/officeDocument/2006/relationships/hyperlink" Target="https://drive.google.com/file/d/1Az_YevH4YYu-3eDner8nfeDoQ5akmQ8X/view?usp=sharing" TargetMode="External"/><Relationship Id="rId15" Type="http://schemas.openxmlformats.org/officeDocument/2006/relationships/table" Target="../tables/table1.xml"/><Relationship Id="rId10" Type="http://schemas.openxmlformats.org/officeDocument/2006/relationships/hyperlink" Target="https://drive.google.com/file/d/1uDWhY6a7zKW_EwX5CX-HIyY23jHQ6-sk/view?usp=sharing" TargetMode="External"/><Relationship Id="rId4" Type="http://schemas.openxmlformats.org/officeDocument/2006/relationships/hyperlink" Target="https://drive.google.com/file/d/1YXpNs9e1c7AGR6p2fEuJKKZd3LrXMfVp/view?usp=sharing" TargetMode="External"/><Relationship Id="rId9" Type="http://schemas.openxmlformats.org/officeDocument/2006/relationships/hyperlink" Target="https://drive.google.com/file/d/1Jk5hq4lAA3Vv4CDcEiEjF4CDtnFTq972/view?usp=sharing" TargetMode="External"/><Relationship Id="rId14" Type="http://schemas.openxmlformats.org/officeDocument/2006/relationships/hyperlink" Target="https://drive.google.com/file/d/1NjeArHoESnBsXRnbnzkzRJIqaM9mdve7/view?usp=sharing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365D"/>
  </sheetPr>
  <dimension ref="A1:S998"/>
  <sheetViews>
    <sheetView showGridLines="0" workbookViewId="0">
      <pane ySplit="2" topLeftCell="A3" activePane="bottomLeft" state="frozen"/>
      <selection pane="bottomLeft" activeCell="H6" sqref="H6"/>
    </sheetView>
  </sheetViews>
  <sheetFormatPr defaultColWidth="12.625" defaultRowHeight="15" customHeight="1"/>
  <cols>
    <col min="1" max="1" width="23" customWidth="1"/>
    <col min="2" max="2" width="16" customWidth="1"/>
    <col min="3" max="3" width="3" customWidth="1"/>
    <col min="4" max="4" width="18" customWidth="1"/>
    <col min="5" max="5" width="12" customWidth="1"/>
    <col min="6" max="6" width="3" customWidth="1"/>
    <col min="7" max="7" width="18" customWidth="1"/>
    <col min="8" max="8" width="43" customWidth="1"/>
    <col min="9" max="26" width="8.625" customWidth="1"/>
  </cols>
  <sheetData>
    <row r="1" spans="1:19" ht="33.75" customHeight="1">
      <c r="A1" s="32" t="s">
        <v>0</v>
      </c>
      <c r="B1" s="33"/>
      <c r="C1" s="33"/>
      <c r="D1" s="33"/>
      <c r="E1" s="33"/>
      <c r="F1" s="33"/>
      <c r="G1" s="33"/>
      <c r="H1" s="33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24" customHeight="1">
      <c r="A2" s="34" t="s">
        <v>1</v>
      </c>
      <c r="B2" s="33"/>
      <c r="C2" s="33"/>
      <c r="D2" s="33"/>
      <c r="E2" s="33"/>
      <c r="F2" s="33"/>
      <c r="G2" s="33"/>
      <c r="H2" s="33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>
      <c r="A4" s="2" t="s">
        <v>2</v>
      </c>
      <c r="B4" s="2" t="s">
        <v>3</v>
      </c>
      <c r="C4" s="1"/>
      <c r="D4" s="2" t="s">
        <v>4</v>
      </c>
      <c r="E4" s="2" t="s">
        <v>5</v>
      </c>
      <c r="F4" s="1"/>
      <c r="G4" s="2" t="s">
        <v>6</v>
      </c>
      <c r="H4" s="2" t="s">
        <v>7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>
      <c r="A5" s="3" t="s">
        <v>8</v>
      </c>
      <c r="B5" s="4">
        <f>COUNTA('Test Cases'!$A$7:$A$20)</f>
        <v>14</v>
      </c>
      <c r="C5" s="1"/>
      <c r="D5" s="3" t="s">
        <v>9</v>
      </c>
      <c r="E5" s="4">
        <f>COUNTIF('Test Cases'!$F$7:$F$20,D5)</f>
        <v>3</v>
      </c>
      <c r="F5" s="1"/>
      <c r="G5" s="3" t="s">
        <v>11</v>
      </c>
      <c r="H5" s="5" t="s">
        <v>13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>
      <c r="A6" s="6" t="s">
        <v>14</v>
      </c>
      <c r="B6" s="9">
        <f>COUNTIF('Test Cases'!$Q$7:$Q$20,"Passed")</f>
        <v>14</v>
      </c>
      <c r="C6" s="1"/>
      <c r="D6" s="6" t="s">
        <v>19</v>
      </c>
      <c r="E6" s="9">
        <f>COUNTIF('Test Cases'!$F$7:$F$20,D6)</f>
        <v>7</v>
      </c>
      <c r="F6" s="1"/>
      <c r="G6" s="6" t="s">
        <v>22</v>
      </c>
      <c r="H6" s="10">
        <v>14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>
      <c r="A7" s="6" t="s">
        <v>24</v>
      </c>
      <c r="B7" s="9">
        <f>COUNTIF('Test Cases'!$Q$7:$Q$20,"Failed")</f>
        <v>0</v>
      </c>
      <c r="C7" s="1"/>
      <c r="D7" s="6" t="s">
        <v>25</v>
      </c>
      <c r="E7" s="9">
        <f>COUNTIF('Test Cases'!$F$7:$F$20,D7)</f>
        <v>2</v>
      </c>
      <c r="F7" s="1"/>
      <c r="G7" s="6" t="s">
        <v>28</v>
      </c>
      <c r="H7" s="10" t="s">
        <v>29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>
      <c r="A8" s="6" t="s">
        <v>30</v>
      </c>
      <c r="B8" s="9">
        <f>COUNTIF('Test Cases'!$Q$7:$Q$20,"Blocked")</f>
        <v>0</v>
      </c>
      <c r="C8" s="1"/>
      <c r="D8" s="12" t="s">
        <v>31</v>
      </c>
      <c r="E8" s="13">
        <f>COUNTIF('Test Cases'!$F$7:$F$20,D8)</f>
        <v>2</v>
      </c>
      <c r="F8" s="1"/>
      <c r="G8" s="6" t="s">
        <v>35</v>
      </c>
      <c r="H8" s="10" t="s">
        <v>36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>
      <c r="A9" s="6" t="s">
        <v>39</v>
      </c>
      <c r="B9" s="9">
        <f>COUNTIF('Test Cases'!$Q$7:$Q$20,"Not Run")</f>
        <v>0</v>
      </c>
      <c r="C9" s="1"/>
      <c r="D9" s="1"/>
      <c r="E9" s="1"/>
      <c r="F9" s="1"/>
      <c r="G9" s="6" t="s">
        <v>42</v>
      </c>
      <c r="H9" s="10" t="s">
        <v>43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>
      <c r="A10" s="12" t="s">
        <v>45</v>
      </c>
      <c r="B10" s="15">
        <f>IFERROR(B6/(B6+B7),0)</f>
        <v>1</v>
      </c>
      <c r="C10" s="1"/>
      <c r="D10" s="1"/>
      <c r="E10" s="1"/>
      <c r="F10" s="1"/>
      <c r="G10" s="12" t="s">
        <v>51</v>
      </c>
      <c r="H10" s="17" t="s">
        <v>39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>
      <c r="A13" s="35" t="s">
        <v>61</v>
      </c>
      <c r="B13" s="33"/>
      <c r="C13" s="33"/>
      <c r="D13" s="33"/>
      <c r="E13" s="33"/>
      <c r="F13" s="33"/>
      <c r="G13" s="33"/>
      <c r="H13" s="33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ht="30" customHeight="1">
      <c r="A14" s="36" t="s">
        <v>64</v>
      </c>
      <c r="B14" s="33"/>
      <c r="C14" s="33"/>
      <c r="D14" s="33"/>
      <c r="E14" s="33"/>
      <c r="F14" s="33"/>
      <c r="G14" s="33"/>
      <c r="H14" s="33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>
      <c r="A17" s="35" t="s">
        <v>69</v>
      </c>
      <c r="B17" s="33"/>
      <c r="C17" s="33"/>
      <c r="D17" s="33"/>
      <c r="E17" s="33"/>
      <c r="F17" s="33"/>
      <c r="G17" s="33"/>
      <c r="H17" s="33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>
      <c r="A18" s="21" t="s">
        <v>15</v>
      </c>
      <c r="B18" s="37" t="s">
        <v>17</v>
      </c>
      <c r="C18" s="38"/>
      <c r="D18" s="38"/>
      <c r="E18" s="38"/>
      <c r="F18" s="38"/>
      <c r="G18" s="38"/>
      <c r="H18" s="39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ht="15.75" customHeight="1">
      <c r="A19" s="22" t="s">
        <v>21</v>
      </c>
      <c r="B19" s="40" t="s">
        <v>23</v>
      </c>
      <c r="C19" s="41"/>
      <c r="D19" s="41"/>
      <c r="E19" s="41"/>
      <c r="F19" s="41"/>
      <c r="G19" s="41"/>
      <c r="H19" s="42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19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1:19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1:19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19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1:19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1:19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1:19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1:19" ht="15.75" customHeight="1"/>
    <row r="60" spans="1:19" ht="15.75" customHeight="1"/>
    <row r="61" spans="1:19" ht="15.75" customHeight="1"/>
    <row r="62" spans="1:19" ht="15.75" customHeight="1"/>
    <row r="63" spans="1:19" ht="15.75" customHeight="1"/>
    <row r="64" spans="1:19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7">
    <mergeCell ref="A17:H17"/>
    <mergeCell ref="B18:H18"/>
    <mergeCell ref="B19:H19"/>
    <mergeCell ref="A1:H1"/>
    <mergeCell ref="A2:H2"/>
    <mergeCell ref="A13:H13"/>
    <mergeCell ref="A14:H14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F75B5"/>
  </sheetPr>
  <dimension ref="A1:S1000"/>
  <sheetViews>
    <sheetView showGridLines="0" workbookViewId="0">
      <pane xSplit="2" ySplit="6" topLeftCell="C10" activePane="bottomRight" state="frozen"/>
      <selection pane="topRight" activeCell="C1" sqref="C1"/>
      <selection pane="bottomLeft" activeCell="A7" sqref="A7"/>
      <selection pane="bottomRight" activeCell="C7" sqref="C7"/>
    </sheetView>
  </sheetViews>
  <sheetFormatPr defaultColWidth="12.625" defaultRowHeight="15" customHeight="1"/>
  <cols>
    <col min="1" max="1" width="15" customWidth="1"/>
    <col min="2" max="2" width="11" customWidth="1"/>
    <col min="3" max="3" width="28" customWidth="1"/>
    <col min="4" max="5" width="11" customWidth="1"/>
    <col min="6" max="6" width="10" customWidth="1"/>
    <col min="7" max="7" width="36" customWidth="1"/>
    <col min="8" max="8" width="28" customWidth="1"/>
    <col min="9" max="9" width="36" customWidth="1"/>
    <col min="10" max="10" width="38" customWidth="1"/>
    <col min="11" max="12" width="13" customWidth="1"/>
    <col min="13" max="13" width="34" customWidth="1"/>
    <col min="14" max="14" width="24.375" customWidth="1"/>
    <col min="15" max="15" width="31.25" customWidth="1"/>
    <col min="16" max="16" width="30" customWidth="1"/>
    <col min="17" max="17" width="12" customWidth="1"/>
    <col min="18" max="18" width="28" customWidth="1"/>
    <col min="19" max="19" width="25" customWidth="1"/>
    <col min="20" max="26" width="8.625" customWidth="1"/>
  </cols>
  <sheetData>
    <row r="1" spans="1:19" ht="33.75" customHeight="1">
      <c r="A1" s="43" t="s">
        <v>10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</row>
    <row r="2" spans="1:19">
      <c r="A2" s="44" t="s">
        <v>16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</row>
    <row r="3" spans="1:19">
      <c r="A3" s="45" t="s">
        <v>18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</row>
    <row r="4" spans="1:19">
      <c r="A4" s="46" t="s">
        <v>20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</row>
    <row r="5" spans="1:19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ht="42" customHeight="1">
      <c r="A6" s="11" t="s">
        <v>26</v>
      </c>
      <c r="B6" s="11" t="s">
        <v>32</v>
      </c>
      <c r="C6" s="11" t="s">
        <v>38</v>
      </c>
      <c r="D6" s="11" t="s">
        <v>41</v>
      </c>
      <c r="E6" s="11" t="s">
        <v>44</v>
      </c>
      <c r="F6" s="11" t="s">
        <v>46</v>
      </c>
      <c r="G6" s="11" t="s">
        <v>48</v>
      </c>
      <c r="H6" s="11" t="s">
        <v>49</v>
      </c>
      <c r="I6" s="11" t="s">
        <v>50</v>
      </c>
      <c r="J6" s="11" t="s">
        <v>52</v>
      </c>
      <c r="K6" s="11" t="s">
        <v>53</v>
      </c>
      <c r="L6" s="11" t="s">
        <v>55</v>
      </c>
      <c r="M6" s="11" t="s">
        <v>57</v>
      </c>
      <c r="N6" s="11" t="s">
        <v>58</v>
      </c>
      <c r="O6" s="11" t="s">
        <v>60</v>
      </c>
      <c r="P6" s="11" t="s">
        <v>62</v>
      </c>
      <c r="Q6" s="19" t="s">
        <v>63</v>
      </c>
      <c r="R6" s="11" t="s">
        <v>65</v>
      </c>
      <c r="S6" s="11" t="s">
        <v>66</v>
      </c>
    </row>
    <row r="7" spans="1:19" ht="61.5" customHeight="1">
      <c r="A7" s="20" t="s">
        <v>68</v>
      </c>
      <c r="B7" s="18">
        <v>1</v>
      </c>
      <c r="C7" s="16" t="s">
        <v>71</v>
      </c>
      <c r="D7" s="18" t="s">
        <v>73</v>
      </c>
      <c r="E7" s="18" t="s">
        <v>75</v>
      </c>
      <c r="F7" s="18" t="s">
        <v>9</v>
      </c>
      <c r="G7" s="16" t="s">
        <v>76</v>
      </c>
      <c r="H7" s="16" t="s">
        <v>78</v>
      </c>
      <c r="I7" s="16" t="s">
        <v>81</v>
      </c>
      <c r="J7" s="16" t="s">
        <v>83</v>
      </c>
      <c r="K7" s="18">
        <v>200</v>
      </c>
      <c r="L7" s="18">
        <v>200</v>
      </c>
      <c r="M7" s="16" t="s">
        <v>85</v>
      </c>
      <c r="N7" s="23">
        <v>200</v>
      </c>
      <c r="O7" s="23">
        <v>200</v>
      </c>
      <c r="P7" s="24" t="s">
        <v>88</v>
      </c>
      <c r="Q7" s="25" t="s">
        <v>14</v>
      </c>
      <c r="R7" s="26" t="s">
        <v>91</v>
      </c>
      <c r="S7" s="16"/>
    </row>
    <row r="8" spans="1:19" ht="61.5" customHeight="1">
      <c r="A8" s="16" t="s">
        <v>98</v>
      </c>
      <c r="B8" s="18">
        <v>2</v>
      </c>
      <c r="C8" s="16" t="s">
        <v>99</v>
      </c>
      <c r="D8" s="18" t="s">
        <v>100</v>
      </c>
      <c r="E8" s="18" t="s">
        <v>101</v>
      </c>
      <c r="F8" s="18" t="s">
        <v>19</v>
      </c>
      <c r="G8" s="16" t="s">
        <v>76</v>
      </c>
      <c r="H8" s="16" t="s">
        <v>78</v>
      </c>
      <c r="I8" s="16" t="s">
        <v>105</v>
      </c>
      <c r="J8" s="16" t="s">
        <v>107</v>
      </c>
      <c r="K8" s="18">
        <v>200</v>
      </c>
      <c r="L8" s="18">
        <v>405</v>
      </c>
      <c r="M8" s="16" t="s">
        <v>108</v>
      </c>
      <c r="N8" s="23">
        <v>200</v>
      </c>
      <c r="O8" s="28">
        <v>405</v>
      </c>
      <c r="P8" s="25" t="s">
        <v>112</v>
      </c>
      <c r="Q8" s="25" t="s">
        <v>14</v>
      </c>
      <c r="R8" s="29" t="s">
        <v>114</v>
      </c>
      <c r="S8" s="16"/>
    </row>
    <row r="9" spans="1:19" ht="61.5" customHeight="1">
      <c r="A9" s="16" t="s">
        <v>119</v>
      </c>
      <c r="B9" s="18">
        <v>3</v>
      </c>
      <c r="C9" s="16" t="s">
        <v>121</v>
      </c>
      <c r="D9" s="18" t="s">
        <v>73</v>
      </c>
      <c r="E9" s="18" t="s">
        <v>75</v>
      </c>
      <c r="F9" s="18" t="s">
        <v>9</v>
      </c>
      <c r="G9" s="16" t="s">
        <v>122</v>
      </c>
      <c r="H9" s="16" t="s">
        <v>78</v>
      </c>
      <c r="I9" s="16" t="s">
        <v>81</v>
      </c>
      <c r="J9" s="16" t="s">
        <v>124</v>
      </c>
      <c r="K9" s="18">
        <v>200</v>
      </c>
      <c r="L9" s="18">
        <v>200</v>
      </c>
      <c r="M9" s="16" t="s">
        <v>126</v>
      </c>
      <c r="N9" s="23">
        <v>200</v>
      </c>
      <c r="O9" s="23">
        <v>200</v>
      </c>
      <c r="P9" s="18" t="s">
        <v>127</v>
      </c>
      <c r="Q9" s="25" t="s">
        <v>14</v>
      </c>
      <c r="R9" s="29" t="s">
        <v>129</v>
      </c>
      <c r="S9" s="16"/>
    </row>
    <row r="10" spans="1:19" ht="61.5" customHeight="1">
      <c r="A10" s="16" t="s">
        <v>133</v>
      </c>
      <c r="B10" s="18">
        <v>4</v>
      </c>
      <c r="C10" s="16" t="s">
        <v>135</v>
      </c>
      <c r="D10" s="18" t="s">
        <v>100</v>
      </c>
      <c r="E10" s="18" t="s">
        <v>101</v>
      </c>
      <c r="F10" s="18" t="s">
        <v>25</v>
      </c>
      <c r="G10" s="16" t="s">
        <v>122</v>
      </c>
      <c r="H10" s="16" t="s">
        <v>78</v>
      </c>
      <c r="I10" s="16" t="s">
        <v>105</v>
      </c>
      <c r="J10" s="16" t="s">
        <v>139</v>
      </c>
      <c r="K10" s="18">
        <v>200</v>
      </c>
      <c r="L10" s="18">
        <v>405</v>
      </c>
      <c r="M10" s="16" t="s">
        <v>140</v>
      </c>
      <c r="N10" s="23">
        <v>200</v>
      </c>
      <c r="O10" s="28">
        <v>405</v>
      </c>
      <c r="P10" s="18" t="s">
        <v>143</v>
      </c>
      <c r="Q10" s="25" t="s">
        <v>14</v>
      </c>
      <c r="R10" s="29" t="s">
        <v>146</v>
      </c>
      <c r="S10" s="16"/>
    </row>
    <row r="11" spans="1:19" ht="61.5" customHeight="1">
      <c r="A11" s="16" t="s">
        <v>72</v>
      </c>
      <c r="B11" s="18">
        <v>5</v>
      </c>
      <c r="C11" s="16" t="s">
        <v>158</v>
      </c>
      <c r="D11" s="18" t="s">
        <v>73</v>
      </c>
      <c r="E11" s="18" t="s">
        <v>75</v>
      </c>
      <c r="F11" s="18" t="s">
        <v>19</v>
      </c>
      <c r="G11" s="16" t="s">
        <v>160</v>
      </c>
      <c r="H11" s="16" t="s">
        <v>78</v>
      </c>
      <c r="I11" s="16" t="s">
        <v>162</v>
      </c>
      <c r="J11" s="16" t="s">
        <v>163</v>
      </c>
      <c r="K11" s="18">
        <v>200</v>
      </c>
      <c r="L11" s="18">
        <v>200</v>
      </c>
      <c r="M11" s="16" t="s">
        <v>165</v>
      </c>
      <c r="N11" s="23">
        <v>200</v>
      </c>
      <c r="O11" s="23">
        <v>200</v>
      </c>
      <c r="P11" s="18" t="s">
        <v>166</v>
      </c>
      <c r="Q11" s="25" t="s">
        <v>14</v>
      </c>
      <c r="R11" s="29" t="s">
        <v>169</v>
      </c>
      <c r="S11" s="16"/>
    </row>
    <row r="12" spans="1:19" ht="61.5" customHeight="1">
      <c r="A12" s="16" t="s">
        <v>171</v>
      </c>
      <c r="B12" s="18">
        <v>6</v>
      </c>
      <c r="C12" s="16" t="s">
        <v>172</v>
      </c>
      <c r="D12" s="18" t="s">
        <v>100</v>
      </c>
      <c r="E12" s="18" t="s">
        <v>75</v>
      </c>
      <c r="F12" s="18" t="s">
        <v>19</v>
      </c>
      <c r="G12" s="16" t="s">
        <v>160</v>
      </c>
      <c r="H12" s="16" t="s">
        <v>78</v>
      </c>
      <c r="I12" s="16" t="s">
        <v>173</v>
      </c>
      <c r="J12" s="16" t="s">
        <v>174</v>
      </c>
      <c r="K12" s="18">
        <v>200</v>
      </c>
      <c r="L12" s="18">
        <v>400</v>
      </c>
      <c r="M12" s="16" t="s">
        <v>175</v>
      </c>
      <c r="N12" s="30">
        <v>200</v>
      </c>
      <c r="O12" s="30">
        <v>400</v>
      </c>
      <c r="P12" s="18" t="s">
        <v>176</v>
      </c>
      <c r="Q12" s="25" t="s">
        <v>14</v>
      </c>
      <c r="R12" s="29" t="s">
        <v>177</v>
      </c>
      <c r="S12" s="16"/>
    </row>
    <row r="13" spans="1:19" ht="61.5" customHeight="1">
      <c r="A13" s="16" t="s">
        <v>178</v>
      </c>
      <c r="B13" s="18">
        <v>7</v>
      </c>
      <c r="C13" s="16" t="s">
        <v>179</v>
      </c>
      <c r="D13" s="18" t="s">
        <v>73</v>
      </c>
      <c r="E13" s="18" t="s">
        <v>75</v>
      </c>
      <c r="F13" s="18" t="s">
        <v>19</v>
      </c>
      <c r="G13" s="16" t="s">
        <v>180</v>
      </c>
      <c r="H13" s="16" t="s">
        <v>181</v>
      </c>
      <c r="I13" s="16" t="s">
        <v>182</v>
      </c>
      <c r="J13" s="16" t="s">
        <v>183</v>
      </c>
      <c r="K13" s="18">
        <v>200</v>
      </c>
      <c r="L13" s="18">
        <v>200</v>
      </c>
      <c r="M13" s="16" t="s">
        <v>184</v>
      </c>
      <c r="N13" s="30">
        <v>200</v>
      </c>
      <c r="O13" s="30">
        <v>200</v>
      </c>
      <c r="P13" s="18" t="s">
        <v>185</v>
      </c>
      <c r="Q13" s="25" t="s">
        <v>14</v>
      </c>
      <c r="R13" s="29" t="s">
        <v>186</v>
      </c>
      <c r="S13" s="16" t="s">
        <v>187</v>
      </c>
    </row>
    <row r="14" spans="1:19" ht="61.5" customHeight="1">
      <c r="A14" s="16" t="s">
        <v>188</v>
      </c>
      <c r="B14" s="18">
        <v>8</v>
      </c>
      <c r="C14" s="16" t="s">
        <v>189</v>
      </c>
      <c r="D14" s="18" t="s">
        <v>100</v>
      </c>
      <c r="E14" s="18" t="s">
        <v>75</v>
      </c>
      <c r="F14" s="18" t="s">
        <v>19</v>
      </c>
      <c r="G14" s="16" t="s">
        <v>180</v>
      </c>
      <c r="H14" s="16" t="s">
        <v>78</v>
      </c>
      <c r="I14" s="16" t="s">
        <v>190</v>
      </c>
      <c r="J14" s="16" t="s">
        <v>191</v>
      </c>
      <c r="K14" s="18">
        <v>200</v>
      </c>
      <c r="L14" s="18">
        <v>400</v>
      </c>
      <c r="M14" s="16" t="s">
        <v>192</v>
      </c>
      <c r="N14" s="30">
        <v>200</v>
      </c>
      <c r="O14" s="30">
        <v>400</v>
      </c>
      <c r="P14" s="18" t="s">
        <v>193</v>
      </c>
      <c r="Q14" s="25" t="s">
        <v>14</v>
      </c>
      <c r="R14" s="29" t="s">
        <v>194</v>
      </c>
      <c r="S14" s="16" t="s">
        <v>195</v>
      </c>
    </row>
    <row r="15" spans="1:19" ht="61.5" customHeight="1">
      <c r="A15" s="16" t="s">
        <v>196</v>
      </c>
      <c r="B15" s="18">
        <v>9</v>
      </c>
      <c r="C15" s="16" t="s">
        <v>197</v>
      </c>
      <c r="D15" s="18" t="s">
        <v>100</v>
      </c>
      <c r="E15" s="18" t="s">
        <v>101</v>
      </c>
      <c r="F15" s="18" t="s">
        <v>31</v>
      </c>
      <c r="G15" s="16" t="s">
        <v>180</v>
      </c>
      <c r="H15" s="16" t="s">
        <v>78</v>
      </c>
      <c r="I15" s="16" t="s">
        <v>105</v>
      </c>
      <c r="J15" s="16" t="s">
        <v>198</v>
      </c>
      <c r="K15" s="18">
        <v>200</v>
      </c>
      <c r="L15" s="18">
        <v>405</v>
      </c>
      <c r="M15" s="16" t="s">
        <v>199</v>
      </c>
      <c r="N15" s="18">
        <v>200</v>
      </c>
      <c r="O15" s="18">
        <v>405</v>
      </c>
      <c r="P15" s="18" t="s">
        <v>200</v>
      </c>
      <c r="Q15" s="25" t="s">
        <v>14</v>
      </c>
      <c r="R15" s="29" t="s">
        <v>201</v>
      </c>
      <c r="S15" s="16" t="s">
        <v>202</v>
      </c>
    </row>
    <row r="16" spans="1:19" ht="61.5" customHeight="1">
      <c r="A16" s="16" t="s">
        <v>94</v>
      </c>
      <c r="B16" s="18">
        <v>10</v>
      </c>
      <c r="C16" s="16" t="s">
        <v>203</v>
      </c>
      <c r="D16" s="18" t="s">
        <v>100</v>
      </c>
      <c r="E16" s="18" t="s">
        <v>75</v>
      </c>
      <c r="F16" s="18" t="s">
        <v>19</v>
      </c>
      <c r="G16" s="16" t="s">
        <v>180</v>
      </c>
      <c r="H16" s="16" t="s">
        <v>78</v>
      </c>
      <c r="I16" s="16" t="s">
        <v>204</v>
      </c>
      <c r="J16" s="16" t="s">
        <v>205</v>
      </c>
      <c r="K16" s="18">
        <v>200</v>
      </c>
      <c r="L16" s="18">
        <v>404</v>
      </c>
      <c r="M16" s="16" t="s">
        <v>206</v>
      </c>
      <c r="N16" s="30">
        <v>200</v>
      </c>
      <c r="O16" s="28">
        <v>404</v>
      </c>
      <c r="P16" s="18" t="s">
        <v>207</v>
      </c>
      <c r="Q16" s="25" t="s">
        <v>14</v>
      </c>
      <c r="R16" s="29" t="s">
        <v>208</v>
      </c>
      <c r="S16" s="20" t="s">
        <v>209</v>
      </c>
    </row>
    <row r="17" spans="1:19" ht="75" customHeight="1">
      <c r="A17" s="16" t="s">
        <v>210</v>
      </c>
      <c r="B17" s="18">
        <v>11</v>
      </c>
      <c r="C17" s="16" t="s">
        <v>211</v>
      </c>
      <c r="D17" s="18" t="s">
        <v>73</v>
      </c>
      <c r="E17" s="18" t="s">
        <v>212</v>
      </c>
      <c r="F17" s="18" t="s">
        <v>19</v>
      </c>
      <c r="G17" s="16" t="s">
        <v>213</v>
      </c>
      <c r="H17" s="16" t="s">
        <v>214</v>
      </c>
      <c r="I17" s="16" t="s">
        <v>215</v>
      </c>
      <c r="J17" s="16" t="s">
        <v>216</v>
      </c>
      <c r="K17" s="18">
        <v>200</v>
      </c>
      <c r="L17" s="18">
        <v>201</v>
      </c>
      <c r="M17" s="16" t="s">
        <v>217</v>
      </c>
      <c r="N17" s="30">
        <v>200</v>
      </c>
      <c r="O17" s="28">
        <v>201</v>
      </c>
      <c r="P17" s="25" t="s">
        <v>218</v>
      </c>
      <c r="Q17" s="25" t="s">
        <v>14</v>
      </c>
      <c r="R17" s="29" t="s">
        <v>219</v>
      </c>
      <c r="S17" s="20" t="s">
        <v>220</v>
      </c>
    </row>
    <row r="18" spans="1:19" ht="78.75" customHeight="1">
      <c r="A18" s="16" t="s">
        <v>221</v>
      </c>
      <c r="B18" s="18">
        <v>14</v>
      </c>
      <c r="C18" s="16" t="s">
        <v>222</v>
      </c>
      <c r="D18" s="18" t="s">
        <v>73</v>
      </c>
      <c r="E18" s="18" t="s">
        <v>212</v>
      </c>
      <c r="F18" s="18" t="s">
        <v>31</v>
      </c>
      <c r="G18" s="16" t="s">
        <v>223</v>
      </c>
      <c r="H18" s="16" t="s">
        <v>224</v>
      </c>
      <c r="I18" s="16" t="s">
        <v>182</v>
      </c>
      <c r="J18" s="16" t="s">
        <v>225</v>
      </c>
      <c r="K18" s="18">
        <v>200</v>
      </c>
      <c r="L18" s="18">
        <v>200</v>
      </c>
      <c r="M18" s="16" t="s">
        <v>226</v>
      </c>
      <c r="N18" s="30">
        <v>200</v>
      </c>
      <c r="O18" s="30">
        <v>200</v>
      </c>
      <c r="P18" s="25" t="s">
        <v>227</v>
      </c>
      <c r="Q18" s="25" t="s">
        <v>14</v>
      </c>
      <c r="R18" s="29" t="s">
        <v>228</v>
      </c>
      <c r="S18" s="16" t="s">
        <v>229</v>
      </c>
    </row>
    <row r="19" spans="1:19" ht="61.5" customHeight="1">
      <c r="A19" s="16" t="s">
        <v>230</v>
      </c>
      <c r="B19" s="18">
        <v>12</v>
      </c>
      <c r="C19" s="16" t="s">
        <v>231</v>
      </c>
      <c r="D19" s="18" t="s">
        <v>73</v>
      </c>
      <c r="E19" s="18" t="s">
        <v>212</v>
      </c>
      <c r="F19" s="18" t="s">
        <v>25</v>
      </c>
      <c r="G19" s="16" t="s">
        <v>232</v>
      </c>
      <c r="H19" s="16" t="s">
        <v>233</v>
      </c>
      <c r="I19" s="16" t="s">
        <v>234</v>
      </c>
      <c r="J19" s="16" t="s">
        <v>235</v>
      </c>
      <c r="K19" s="18">
        <v>200</v>
      </c>
      <c r="L19" s="18">
        <v>200</v>
      </c>
      <c r="M19" s="16" t="s">
        <v>236</v>
      </c>
      <c r="N19" s="30">
        <v>200</v>
      </c>
      <c r="O19" s="30">
        <v>200</v>
      </c>
      <c r="P19" s="25" t="s">
        <v>237</v>
      </c>
      <c r="Q19" s="25" t="s">
        <v>14</v>
      </c>
      <c r="R19" s="29" t="s">
        <v>238</v>
      </c>
      <c r="S19" s="16" t="s">
        <v>239</v>
      </c>
    </row>
    <row r="20" spans="1:19" ht="61.5" customHeight="1">
      <c r="A20" s="16" t="s">
        <v>240</v>
      </c>
      <c r="B20" s="18">
        <v>13</v>
      </c>
      <c r="C20" s="16" t="s">
        <v>241</v>
      </c>
      <c r="D20" s="18" t="s">
        <v>73</v>
      </c>
      <c r="E20" s="18" t="s">
        <v>75</v>
      </c>
      <c r="F20" s="18" t="s">
        <v>9</v>
      </c>
      <c r="G20" s="16" t="s">
        <v>242</v>
      </c>
      <c r="H20" s="16" t="s">
        <v>243</v>
      </c>
      <c r="I20" s="16" t="s">
        <v>244</v>
      </c>
      <c r="J20" s="16" t="s">
        <v>245</v>
      </c>
      <c r="K20" s="18">
        <v>200</v>
      </c>
      <c r="L20" s="18">
        <v>200</v>
      </c>
      <c r="M20" s="16" t="s">
        <v>246</v>
      </c>
      <c r="N20" s="30">
        <v>200</v>
      </c>
      <c r="O20" s="30">
        <v>200</v>
      </c>
      <c r="P20" s="18" t="s">
        <v>247</v>
      </c>
      <c r="Q20" s="25" t="s">
        <v>14</v>
      </c>
      <c r="R20" s="29" t="s">
        <v>248</v>
      </c>
      <c r="S20" s="16" t="s">
        <v>249</v>
      </c>
    </row>
    <row r="21" spans="1:19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19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1:19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1:19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19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1:19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1:19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1:19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1:1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1:19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1:19" ht="15.75" customHeight="1">
      <c r="Q61" s="31"/>
    </row>
    <row r="62" spans="1:19" ht="15.75" customHeight="1">
      <c r="Q62" s="31"/>
    </row>
    <row r="63" spans="1:19" ht="15.75" customHeight="1">
      <c r="Q63" s="31"/>
    </row>
    <row r="64" spans="1:19" ht="15.75" customHeight="1">
      <c r="Q64" s="31"/>
    </row>
    <row r="65" spans="17:17" ht="15.75" customHeight="1">
      <c r="Q65" s="31"/>
    </row>
    <row r="66" spans="17:17" ht="15.75" customHeight="1">
      <c r="Q66" s="31"/>
    </row>
    <row r="67" spans="17:17" ht="15.75" customHeight="1">
      <c r="Q67" s="31"/>
    </row>
    <row r="68" spans="17:17" ht="15.75" customHeight="1">
      <c r="Q68" s="31"/>
    </row>
    <row r="69" spans="17:17" ht="15.75" customHeight="1">
      <c r="Q69" s="31"/>
    </row>
    <row r="70" spans="17:17" ht="15.75" customHeight="1">
      <c r="Q70" s="31"/>
    </row>
    <row r="71" spans="17:17" ht="15.75" customHeight="1">
      <c r="Q71" s="31"/>
    </row>
    <row r="72" spans="17:17" ht="15.75" customHeight="1">
      <c r="Q72" s="31"/>
    </row>
    <row r="73" spans="17:17" ht="15.75" customHeight="1">
      <c r="Q73" s="31"/>
    </row>
    <row r="74" spans="17:17" ht="15.75" customHeight="1">
      <c r="Q74" s="31"/>
    </row>
    <row r="75" spans="17:17" ht="15.75" customHeight="1">
      <c r="Q75" s="31"/>
    </row>
    <row r="76" spans="17:17" ht="15.75" customHeight="1">
      <c r="Q76" s="31"/>
    </row>
    <row r="77" spans="17:17" ht="15.75" customHeight="1">
      <c r="Q77" s="31"/>
    </row>
    <row r="78" spans="17:17" ht="15.75" customHeight="1">
      <c r="Q78" s="31"/>
    </row>
    <row r="79" spans="17:17" ht="15.75" customHeight="1">
      <c r="Q79" s="31"/>
    </row>
    <row r="80" spans="17:17" ht="15.75" customHeight="1">
      <c r="Q80" s="31"/>
    </row>
    <row r="81" spans="17:17" ht="15.75" customHeight="1">
      <c r="Q81" s="31"/>
    </row>
    <row r="82" spans="17:17" ht="15.75" customHeight="1">
      <c r="Q82" s="31"/>
    </row>
    <row r="83" spans="17:17" ht="15.75" customHeight="1">
      <c r="Q83" s="31"/>
    </row>
    <row r="84" spans="17:17" ht="15.75" customHeight="1">
      <c r="Q84" s="31"/>
    </row>
    <row r="85" spans="17:17" ht="15.75" customHeight="1">
      <c r="Q85" s="31"/>
    </row>
    <row r="86" spans="17:17" ht="15.75" customHeight="1">
      <c r="Q86" s="31"/>
    </row>
    <row r="87" spans="17:17" ht="15.75" customHeight="1">
      <c r="Q87" s="31"/>
    </row>
    <row r="88" spans="17:17" ht="15.75" customHeight="1">
      <c r="Q88" s="31"/>
    </row>
    <row r="89" spans="17:17" ht="15.75" customHeight="1">
      <c r="Q89" s="31"/>
    </row>
    <row r="90" spans="17:17" ht="15.75" customHeight="1">
      <c r="Q90" s="31"/>
    </row>
    <row r="91" spans="17:17" ht="15.75" customHeight="1">
      <c r="Q91" s="31"/>
    </row>
    <row r="92" spans="17:17" ht="15.75" customHeight="1">
      <c r="Q92" s="31"/>
    </row>
    <row r="93" spans="17:17" ht="15.75" customHeight="1">
      <c r="Q93" s="31"/>
    </row>
    <row r="94" spans="17:17" ht="15.75" customHeight="1">
      <c r="Q94" s="31"/>
    </row>
    <row r="95" spans="17:17" ht="15.75" customHeight="1">
      <c r="Q95" s="31"/>
    </row>
    <row r="96" spans="17:17" ht="15.75" customHeight="1">
      <c r="Q96" s="31"/>
    </row>
    <row r="97" spans="17:17" ht="15.75" customHeight="1">
      <c r="Q97" s="31"/>
    </row>
    <row r="98" spans="17:17" ht="15.75" customHeight="1">
      <c r="Q98" s="31"/>
    </row>
    <row r="99" spans="17:17" ht="15.75" customHeight="1">
      <c r="Q99" s="31"/>
    </row>
    <row r="100" spans="17:17" ht="15.75" customHeight="1">
      <c r="Q100" s="31"/>
    </row>
    <row r="101" spans="17:17" ht="15.75" customHeight="1">
      <c r="Q101" s="31"/>
    </row>
    <row r="102" spans="17:17" ht="15.75" customHeight="1">
      <c r="Q102" s="31"/>
    </row>
    <row r="103" spans="17:17" ht="15.75" customHeight="1">
      <c r="Q103" s="31"/>
    </row>
    <row r="104" spans="17:17" ht="15.75" customHeight="1">
      <c r="Q104" s="31"/>
    </row>
    <row r="105" spans="17:17" ht="15.75" customHeight="1">
      <c r="Q105" s="31"/>
    </row>
    <row r="106" spans="17:17" ht="15.75" customHeight="1">
      <c r="Q106" s="31"/>
    </row>
    <row r="107" spans="17:17" ht="15.75" customHeight="1">
      <c r="Q107" s="31"/>
    </row>
    <row r="108" spans="17:17" ht="15.75" customHeight="1">
      <c r="Q108" s="31"/>
    </row>
    <row r="109" spans="17:17" ht="15.75" customHeight="1">
      <c r="Q109" s="31"/>
    </row>
    <row r="110" spans="17:17" ht="15.75" customHeight="1">
      <c r="Q110" s="31"/>
    </row>
    <row r="111" spans="17:17" ht="15.75" customHeight="1">
      <c r="Q111" s="31"/>
    </row>
    <row r="112" spans="17:17" ht="15.75" customHeight="1">
      <c r="Q112" s="31"/>
    </row>
    <row r="113" spans="17:17" ht="15.75" customHeight="1">
      <c r="Q113" s="31"/>
    </row>
    <row r="114" spans="17:17" ht="15.75" customHeight="1">
      <c r="Q114" s="31"/>
    </row>
    <row r="115" spans="17:17" ht="15.75" customHeight="1">
      <c r="Q115" s="31"/>
    </row>
    <row r="116" spans="17:17" ht="15.75" customHeight="1">
      <c r="Q116" s="31"/>
    </row>
    <row r="117" spans="17:17" ht="15.75" customHeight="1">
      <c r="Q117" s="31"/>
    </row>
    <row r="118" spans="17:17" ht="15.75" customHeight="1">
      <c r="Q118" s="31"/>
    </row>
    <row r="119" spans="17:17" ht="15.75" customHeight="1">
      <c r="Q119" s="31"/>
    </row>
    <row r="120" spans="17:17" ht="15.75" customHeight="1">
      <c r="Q120" s="31"/>
    </row>
    <row r="121" spans="17:17" ht="15.75" customHeight="1">
      <c r="Q121" s="31"/>
    </row>
    <row r="122" spans="17:17" ht="15.75" customHeight="1">
      <c r="Q122" s="31"/>
    </row>
    <row r="123" spans="17:17" ht="15.75" customHeight="1">
      <c r="Q123" s="31"/>
    </row>
    <row r="124" spans="17:17" ht="15.75" customHeight="1">
      <c r="Q124" s="31"/>
    </row>
    <row r="125" spans="17:17" ht="15.75" customHeight="1">
      <c r="Q125" s="31"/>
    </row>
    <row r="126" spans="17:17" ht="15.75" customHeight="1">
      <c r="Q126" s="31"/>
    </row>
    <row r="127" spans="17:17" ht="15.75" customHeight="1">
      <c r="Q127" s="31"/>
    </row>
    <row r="128" spans="17:17" ht="15.75" customHeight="1">
      <c r="Q128" s="31"/>
    </row>
    <row r="129" spans="17:17" ht="15.75" customHeight="1">
      <c r="Q129" s="31"/>
    </row>
    <row r="130" spans="17:17" ht="15.75" customHeight="1">
      <c r="Q130" s="31"/>
    </row>
    <row r="131" spans="17:17" ht="15.75" customHeight="1">
      <c r="Q131" s="31"/>
    </row>
    <row r="132" spans="17:17" ht="15.75" customHeight="1">
      <c r="Q132" s="31"/>
    </row>
    <row r="133" spans="17:17" ht="15.75" customHeight="1">
      <c r="Q133" s="31"/>
    </row>
    <row r="134" spans="17:17" ht="15.75" customHeight="1">
      <c r="Q134" s="31"/>
    </row>
    <row r="135" spans="17:17" ht="15.75" customHeight="1">
      <c r="Q135" s="31"/>
    </row>
    <row r="136" spans="17:17" ht="15.75" customHeight="1">
      <c r="Q136" s="31"/>
    </row>
    <row r="137" spans="17:17" ht="15.75" customHeight="1">
      <c r="Q137" s="31"/>
    </row>
    <row r="138" spans="17:17" ht="15.75" customHeight="1">
      <c r="Q138" s="31"/>
    </row>
    <row r="139" spans="17:17" ht="15.75" customHeight="1">
      <c r="Q139" s="31"/>
    </row>
    <row r="140" spans="17:17" ht="15.75" customHeight="1">
      <c r="Q140" s="31"/>
    </row>
    <row r="141" spans="17:17" ht="15.75" customHeight="1">
      <c r="Q141" s="31"/>
    </row>
    <row r="142" spans="17:17" ht="15.75" customHeight="1">
      <c r="Q142" s="31"/>
    </row>
    <row r="143" spans="17:17" ht="15.75" customHeight="1">
      <c r="Q143" s="31"/>
    </row>
    <row r="144" spans="17:17" ht="15.75" customHeight="1">
      <c r="Q144" s="31"/>
    </row>
    <row r="145" spans="17:17" ht="15.75" customHeight="1">
      <c r="Q145" s="31"/>
    </row>
    <row r="146" spans="17:17" ht="15.75" customHeight="1">
      <c r="Q146" s="31"/>
    </row>
    <row r="147" spans="17:17" ht="15.75" customHeight="1">
      <c r="Q147" s="31"/>
    </row>
    <row r="148" spans="17:17" ht="15.75" customHeight="1">
      <c r="Q148" s="31"/>
    </row>
    <row r="149" spans="17:17" ht="15.75" customHeight="1">
      <c r="Q149" s="31"/>
    </row>
    <row r="150" spans="17:17" ht="15.75" customHeight="1">
      <c r="Q150" s="31"/>
    </row>
    <row r="151" spans="17:17" ht="15.75" customHeight="1">
      <c r="Q151" s="31"/>
    </row>
    <row r="152" spans="17:17" ht="15.75" customHeight="1">
      <c r="Q152" s="31"/>
    </row>
    <row r="153" spans="17:17" ht="15.75" customHeight="1">
      <c r="Q153" s="31"/>
    </row>
    <row r="154" spans="17:17" ht="15.75" customHeight="1">
      <c r="Q154" s="31"/>
    </row>
    <row r="155" spans="17:17" ht="15.75" customHeight="1">
      <c r="Q155" s="31"/>
    </row>
    <row r="156" spans="17:17" ht="15.75" customHeight="1">
      <c r="Q156" s="31"/>
    </row>
    <row r="157" spans="17:17" ht="15.75" customHeight="1">
      <c r="Q157" s="31"/>
    </row>
    <row r="158" spans="17:17" ht="15.75" customHeight="1">
      <c r="Q158" s="31"/>
    </row>
    <row r="159" spans="17:17" ht="15.75" customHeight="1">
      <c r="Q159" s="31"/>
    </row>
    <row r="160" spans="17:17" ht="15.75" customHeight="1">
      <c r="Q160" s="31"/>
    </row>
    <row r="161" spans="17:17" ht="15.75" customHeight="1">
      <c r="Q161" s="31"/>
    </row>
    <row r="162" spans="17:17" ht="15.75" customHeight="1">
      <c r="Q162" s="31"/>
    </row>
    <row r="163" spans="17:17" ht="15.75" customHeight="1">
      <c r="Q163" s="31"/>
    </row>
    <row r="164" spans="17:17" ht="15.75" customHeight="1">
      <c r="Q164" s="31"/>
    </row>
    <row r="165" spans="17:17" ht="15.75" customHeight="1">
      <c r="Q165" s="31"/>
    </row>
    <row r="166" spans="17:17" ht="15.75" customHeight="1">
      <c r="Q166" s="31"/>
    </row>
    <row r="167" spans="17:17" ht="15.75" customHeight="1">
      <c r="Q167" s="31"/>
    </row>
    <row r="168" spans="17:17" ht="15.75" customHeight="1">
      <c r="Q168" s="31"/>
    </row>
    <row r="169" spans="17:17" ht="15.75" customHeight="1">
      <c r="Q169" s="31"/>
    </row>
    <row r="170" spans="17:17" ht="15.75" customHeight="1">
      <c r="Q170" s="31"/>
    </row>
    <row r="171" spans="17:17" ht="15.75" customHeight="1">
      <c r="Q171" s="31"/>
    </row>
    <row r="172" spans="17:17" ht="15.75" customHeight="1">
      <c r="Q172" s="31"/>
    </row>
    <row r="173" spans="17:17" ht="15.75" customHeight="1">
      <c r="Q173" s="31"/>
    </row>
    <row r="174" spans="17:17" ht="15.75" customHeight="1">
      <c r="Q174" s="31"/>
    </row>
    <row r="175" spans="17:17" ht="15.75" customHeight="1">
      <c r="Q175" s="31"/>
    </row>
    <row r="176" spans="17:17" ht="15.75" customHeight="1">
      <c r="Q176" s="31"/>
    </row>
    <row r="177" spans="17:17" ht="15.75" customHeight="1">
      <c r="Q177" s="31"/>
    </row>
    <row r="178" spans="17:17" ht="15.75" customHeight="1">
      <c r="Q178" s="31"/>
    </row>
    <row r="179" spans="17:17" ht="15.75" customHeight="1">
      <c r="Q179" s="31"/>
    </row>
    <row r="180" spans="17:17" ht="15.75" customHeight="1">
      <c r="Q180" s="31"/>
    </row>
    <row r="181" spans="17:17" ht="15.75" customHeight="1">
      <c r="Q181" s="31"/>
    </row>
    <row r="182" spans="17:17" ht="15.75" customHeight="1">
      <c r="Q182" s="31"/>
    </row>
    <row r="183" spans="17:17" ht="15.75" customHeight="1">
      <c r="Q183" s="31"/>
    </row>
    <row r="184" spans="17:17" ht="15.75" customHeight="1">
      <c r="Q184" s="31"/>
    </row>
    <row r="185" spans="17:17" ht="15.75" customHeight="1">
      <c r="Q185" s="31"/>
    </row>
    <row r="186" spans="17:17" ht="15.75" customHeight="1">
      <c r="Q186" s="31"/>
    </row>
    <row r="187" spans="17:17" ht="15.75" customHeight="1">
      <c r="Q187" s="31"/>
    </row>
    <row r="188" spans="17:17" ht="15.75" customHeight="1">
      <c r="Q188" s="31"/>
    </row>
    <row r="189" spans="17:17" ht="15.75" customHeight="1">
      <c r="Q189" s="31"/>
    </row>
    <row r="190" spans="17:17" ht="15.75" customHeight="1">
      <c r="Q190" s="31"/>
    </row>
    <row r="191" spans="17:17" ht="15.75" customHeight="1">
      <c r="Q191" s="31"/>
    </row>
    <row r="192" spans="17:17" ht="15.75" customHeight="1">
      <c r="Q192" s="31"/>
    </row>
    <row r="193" spans="17:17" ht="15.75" customHeight="1">
      <c r="Q193" s="31"/>
    </row>
    <row r="194" spans="17:17" ht="15.75" customHeight="1">
      <c r="Q194" s="31"/>
    </row>
    <row r="195" spans="17:17" ht="15.75" customHeight="1">
      <c r="Q195" s="31"/>
    </row>
    <row r="196" spans="17:17" ht="15.75" customHeight="1">
      <c r="Q196" s="31"/>
    </row>
    <row r="197" spans="17:17" ht="15.75" customHeight="1">
      <c r="Q197" s="31"/>
    </row>
    <row r="198" spans="17:17" ht="15.75" customHeight="1">
      <c r="Q198" s="31"/>
    </row>
    <row r="199" spans="17:17" ht="15.75" customHeight="1">
      <c r="Q199" s="31"/>
    </row>
    <row r="200" spans="17:17" ht="15.75" customHeight="1">
      <c r="Q200" s="31"/>
    </row>
    <row r="201" spans="17:17" ht="15.75" customHeight="1"/>
    <row r="202" spans="17:17" ht="15.75" customHeight="1"/>
    <row r="203" spans="17:17" ht="15.75" customHeight="1"/>
    <row r="204" spans="17:17" ht="15.75" customHeight="1"/>
    <row r="205" spans="17:17" ht="15.75" customHeight="1"/>
    <row r="206" spans="17:17" ht="15.75" customHeight="1"/>
    <row r="207" spans="17:17" ht="15.75" customHeight="1"/>
    <row r="208" spans="17:17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C2DEBDDF-752C-42D4-8536-A89A77990307}" filter="1" showAutoFilter="1">
      <pageMargins left="0.7" right="0.7" top="0.75" bottom="0.75" header="0.3" footer="0.3"/>
      <autoFilter ref="A6:S20" xr:uid="{54A1E668-22FA-4385-A4AC-32CE47E6B5E3}"/>
    </customSheetView>
  </customSheetViews>
  <mergeCells count="4">
    <mergeCell ref="A1:S1"/>
    <mergeCell ref="A2:S2"/>
    <mergeCell ref="A3:S3"/>
    <mergeCell ref="A4:S4"/>
  </mergeCells>
  <conditionalFormatting sqref="Q7:Q1000">
    <cfRule type="containsText" dxfId="4" priority="1" operator="containsText" text="Passed">
      <formula>NOT(ISERROR(SEARCH(("Passed"),(Q7))))</formula>
    </cfRule>
    <cfRule type="containsText" dxfId="3" priority="2" operator="containsText" text="Failed">
      <formula>NOT(ISERROR(SEARCH(("Failed"),(Q7))))</formula>
    </cfRule>
    <cfRule type="containsText" dxfId="2" priority="3" operator="containsText" text="Blocked">
      <formula>NOT(ISERROR(SEARCH(("Blocked"),(Q7))))</formula>
    </cfRule>
    <cfRule type="containsText" dxfId="1" priority="4" operator="containsText" text="Not Run">
      <formula>NOT(ISERROR(SEARCH(("Not Run"),(Q7))))</formula>
    </cfRule>
  </conditionalFormatting>
  <dataValidations count="1">
    <dataValidation type="list" allowBlank="1" sqref="Q7:Q200" xr:uid="{00000000-0002-0000-0100-000000000000}">
      <formula1>"Not Run,Passed,Failed,Blocked,Skipped"</formula1>
    </dataValidation>
  </dataValidations>
  <hyperlinks>
    <hyperlink ref="R7" r:id="rId1" xr:uid="{00000000-0004-0000-0100-000000000000}"/>
    <hyperlink ref="R8" r:id="rId2" xr:uid="{00000000-0004-0000-0100-000001000000}"/>
    <hyperlink ref="R9" r:id="rId3" xr:uid="{00000000-0004-0000-0100-000002000000}"/>
    <hyperlink ref="R10" r:id="rId4" xr:uid="{00000000-0004-0000-0100-000003000000}"/>
    <hyperlink ref="R11" r:id="rId5" xr:uid="{00000000-0004-0000-0100-000004000000}"/>
    <hyperlink ref="R12" r:id="rId6" xr:uid="{00000000-0004-0000-0100-000005000000}"/>
    <hyperlink ref="R13" r:id="rId7" xr:uid="{00000000-0004-0000-0100-000006000000}"/>
    <hyperlink ref="R14" r:id="rId8" xr:uid="{00000000-0004-0000-0100-000007000000}"/>
    <hyperlink ref="R15" r:id="rId9" xr:uid="{00000000-0004-0000-0100-000008000000}"/>
    <hyperlink ref="R16" r:id="rId10" xr:uid="{00000000-0004-0000-0100-000009000000}"/>
    <hyperlink ref="R17" r:id="rId11" xr:uid="{00000000-0004-0000-0100-00000A000000}"/>
    <hyperlink ref="R18" r:id="rId12" xr:uid="{00000000-0004-0000-0100-00000B000000}"/>
    <hyperlink ref="R19" r:id="rId13" xr:uid="{00000000-0004-0000-0100-00000C000000}"/>
    <hyperlink ref="R20" r:id="rId14" xr:uid="{00000000-0004-0000-0100-00000D000000}"/>
  </hyperlinks>
  <pageMargins left="0.7" right="0.7" top="0.75" bottom="0.75" header="0" footer="0"/>
  <pageSetup orientation="landscape"/>
  <tableParts count="1">
    <tablePart r:id="rId1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F6B78"/>
  </sheetPr>
  <dimension ref="A1:S998"/>
  <sheetViews>
    <sheetView showGridLines="0" tabSelected="1" workbookViewId="0">
      <pane ySplit="5" topLeftCell="A6" activePane="bottomLeft" state="frozen"/>
      <selection pane="bottomLeft" activeCell="I7" sqref="I7"/>
    </sheetView>
  </sheetViews>
  <sheetFormatPr defaultColWidth="12.625" defaultRowHeight="15" customHeight="1"/>
  <cols>
    <col min="1" max="1" width="22" customWidth="1"/>
    <col min="2" max="2" width="38" customWidth="1"/>
    <col min="3" max="3" width="29" customWidth="1"/>
    <col min="4" max="4" width="40" customWidth="1"/>
    <col min="5" max="5" width="13" customWidth="1"/>
    <col min="6" max="26" width="8.625" customWidth="1"/>
  </cols>
  <sheetData>
    <row r="1" spans="1:19" ht="33.75" customHeight="1">
      <c r="A1" s="43" t="s">
        <v>12</v>
      </c>
      <c r="B1" s="33"/>
      <c r="C1" s="33"/>
      <c r="D1" s="33"/>
      <c r="E1" s="33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A2" s="7" t="s">
        <v>15</v>
      </c>
      <c r="B2" s="8" t="s">
        <v>17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>
      <c r="A3" s="7" t="s">
        <v>21</v>
      </c>
      <c r="B3" s="8" t="s">
        <v>23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>
      <c r="A5" s="2" t="s">
        <v>27</v>
      </c>
      <c r="B5" s="2" t="s">
        <v>33</v>
      </c>
      <c r="C5" s="2" t="s">
        <v>34</v>
      </c>
      <c r="D5" s="2" t="s">
        <v>37</v>
      </c>
      <c r="E5" s="2" t="s">
        <v>40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ht="30" customHeight="1">
      <c r="A6" s="14" t="s">
        <v>47</v>
      </c>
      <c r="B6" s="16" t="s">
        <v>13</v>
      </c>
      <c r="C6" s="16" t="s">
        <v>54</v>
      </c>
      <c r="D6" s="16" t="s">
        <v>56</v>
      </c>
      <c r="E6" s="18" t="s">
        <v>59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ht="30" customHeight="1">
      <c r="A7" s="14" t="s">
        <v>67</v>
      </c>
      <c r="B7" s="16" t="s">
        <v>70</v>
      </c>
      <c r="C7" s="16" t="s">
        <v>72</v>
      </c>
      <c r="D7" s="16" t="s">
        <v>74</v>
      </c>
      <c r="E7" s="18" t="s">
        <v>59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ht="30" customHeight="1">
      <c r="A8" s="14" t="s">
        <v>77</v>
      </c>
      <c r="B8" s="16" t="s">
        <v>79</v>
      </c>
      <c r="C8" s="16" t="s">
        <v>80</v>
      </c>
      <c r="D8" s="16" t="s">
        <v>82</v>
      </c>
      <c r="E8" s="18" t="s">
        <v>84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ht="30" customHeight="1">
      <c r="A9" s="14" t="s">
        <v>86</v>
      </c>
      <c r="B9" s="16" t="s">
        <v>87</v>
      </c>
      <c r="C9" s="16" t="s">
        <v>89</v>
      </c>
      <c r="D9" s="16" t="s">
        <v>90</v>
      </c>
      <c r="E9" s="18" t="s">
        <v>84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ht="30" customHeight="1">
      <c r="A10" s="14" t="s">
        <v>92</v>
      </c>
      <c r="B10" s="20" t="s">
        <v>93</v>
      </c>
      <c r="C10" s="16" t="s">
        <v>94</v>
      </c>
      <c r="D10" s="16" t="s">
        <v>95</v>
      </c>
      <c r="E10" s="18" t="s">
        <v>59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ht="30" customHeight="1">
      <c r="A11" s="27" t="s">
        <v>96</v>
      </c>
      <c r="B11" s="20" t="s">
        <v>97</v>
      </c>
      <c r="C11" s="16" t="s">
        <v>94</v>
      </c>
      <c r="D11" s="16" t="s">
        <v>95</v>
      </c>
      <c r="E11" s="18" t="s">
        <v>84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ht="30" customHeight="1">
      <c r="A12" s="14" t="s">
        <v>102</v>
      </c>
      <c r="B12" s="16" t="s">
        <v>103</v>
      </c>
      <c r="C12" s="16" t="s">
        <v>104</v>
      </c>
      <c r="D12" s="16" t="s">
        <v>106</v>
      </c>
      <c r="E12" s="18" t="s">
        <v>59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ht="30" customHeight="1">
      <c r="A13" s="14" t="s">
        <v>109</v>
      </c>
      <c r="B13" s="16" t="s">
        <v>110</v>
      </c>
      <c r="C13" s="16" t="s">
        <v>104</v>
      </c>
      <c r="D13" s="16" t="s">
        <v>111</v>
      </c>
      <c r="E13" s="18" t="s">
        <v>59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ht="30" customHeight="1">
      <c r="A14" s="14" t="s">
        <v>113</v>
      </c>
      <c r="B14" s="16" t="s">
        <v>115</v>
      </c>
      <c r="C14" s="16" t="s">
        <v>104</v>
      </c>
      <c r="D14" s="16" t="s">
        <v>116</v>
      </c>
      <c r="E14" s="18" t="s">
        <v>59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ht="30" customHeight="1">
      <c r="A15" s="14" t="s">
        <v>117</v>
      </c>
      <c r="B15" s="16" t="s">
        <v>118</v>
      </c>
      <c r="C15" s="16" t="s">
        <v>104</v>
      </c>
      <c r="D15" s="16" t="s">
        <v>120</v>
      </c>
      <c r="E15" s="18" t="s">
        <v>59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ht="30" customHeight="1">
      <c r="A16" s="14" t="s">
        <v>123</v>
      </c>
      <c r="B16" s="20">
        <v>2000</v>
      </c>
      <c r="C16" s="16" t="s">
        <v>104</v>
      </c>
      <c r="D16" s="16" t="s">
        <v>125</v>
      </c>
      <c r="E16" s="18" t="s">
        <v>59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ht="30" customHeight="1">
      <c r="A17" s="14" t="s">
        <v>128</v>
      </c>
      <c r="B17" s="20" t="s">
        <v>103</v>
      </c>
      <c r="C17" s="16" t="s">
        <v>104</v>
      </c>
      <c r="D17" s="16" t="s">
        <v>130</v>
      </c>
      <c r="E17" s="18" t="s">
        <v>59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ht="30" customHeight="1">
      <c r="A18" s="14" t="s">
        <v>131</v>
      </c>
      <c r="B18" s="16" t="s">
        <v>132</v>
      </c>
      <c r="C18" s="16" t="s">
        <v>104</v>
      </c>
      <c r="D18" s="16" t="s">
        <v>134</v>
      </c>
      <c r="E18" s="18" t="s">
        <v>59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ht="30" customHeight="1">
      <c r="A19" s="14" t="s">
        <v>136</v>
      </c>
      <c r="B19" s="16" t="s">
        <v>137</v>
      </c>
      <c r="C19" s="16" t="s">
        <v>104</v>
      </c>
      <c r="D19" s="16" t="s">
        <v>138</v>
      </c>
      <c r="E19" s="18" t="s">
        <v>59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ht="30" customHeight="1">
      <c r="A20" s="14" t="s">
        <v>141</v>
      </c>
      <c r="B20" s="16" t="s">
        <v>142</v>
      </c>
      <c r="C20" s="16" t="s">
        <v>104</v>
      </c>
      <c r="D20" s="16" t="s">
        <v>144</v>
      </c>
      <c r="E20" s="18" t="s">
        <v>59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ht="30" customHeight="1">
      <c r="A21" s="14" t="s">
        <v>145</v>
      </c>
      <c r="B21" s="16" t="s">
        <v>147</v>
      </c>
      <c r="C21" s="16" t="s">
        <v>104</v>
      </c>
      <c r="D21" s="16" t="s">
        <v>148</v>
      </c>
      <c r="E21" s="18" t="s">
        <v>59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ht="30" customHeight="1">
      <c r="A22" s="14" t="s">
        <v>149</v>
      </c>
      <c r="B22" s="20" t="s">
        <v>150</v>
      </c>
      <c r="C22" s="16" t="s">
        <v>104</v>
      </c>
      <c r="D22" s="16" t="s">
        <v>151</v>
      </c>
      <c r="E22" s="18" t="s">
        <v>59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ht="30" customHeight="1">
      <c r="A23" s="14" t="s">
        <v>152</v>
      </c>
      <c r="B23" s="16" t="s">
        <v>153</v>
      </c>
      <c r="C23" s="16" t="s">
        <v>104</v>
      </c>
      <c r="D23" s="16" t="s">
        <v>154</v>
      </c>
      <c r="E23" s="18" t="s">
        <v>59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ht="30" customHeight="1">
      <c r="A24" s="14" t="s">
        <v>155</v>
      </c>
      <c r="B24" s="16" t="s">
        <v>156</v>
      </c>
      <c r="C24" s="16" t="s">
        <v>104</v>
      </c>
      <c r="D24" s="16" t="s">
        <v>157</v>
      </c>
      <c r="E24" s="18" t="s">
        <v>59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ht="30" customHeight="1">
      <c r="A25" s="14" t="s">
        <v>159</v>
      </c>
      <c r="B25" s="20" t="s">
        <v>161</v>
      </c>
      <c r="C25" s="16" t="s">
        <v>104</v>
      </c>
      <c r="D25" s="16" t="s">
        <v>164</v>
      </c>
      <c r="E25" s="18" t="s">
        <v>59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ht="30" customHeight="1">
      <c r="A26" s="14" t="s">
        <v>167</v>
      </c>
      <c r="B26" s="16" t="s">
        <v>168</v>
      </c>
      <c r="C26" s="16" t="s">
        <v>104</v>
      </c>
      <c r="D26" s="16" t="s">
        <v>170</v>
      </c>
      <c r="E26" s="18" t="s">
        <v>59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19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1:19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1:19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19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1:19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1:19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1:19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1:19" ht="15.75" customHeight="1"/>
    <row r="60" spans="1:19" ht="15.75" customHeight="1"/>
    <row r="61" spans="1:19" ht="15.75" customHeight="1"/>
    <row r="62" spans="1:19" ht="15.75" customHeight="1"/>
    <row r="63" spans="1:19" ht="15.75" customHeight="1"/>
    <row r="64" spans="1:19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customSheetViews>
    <customSheetView guid="{44654D1E-1F77-4E7C-AD66-87ECA31EECB3}" filter="1" showAutoFilter="1">
      <pageMargins left="0.7" right="0.7" top="0.75" bottom="0.75" header="0.3" footer="0.3"/>
      <autoFilter ref="A5:E26" xr:uid="{EA4E6CD6-14FA-4CF4-9B29-ED4757CADBFC}"/>
    </customSheetView>
  </customSheetViews>
  <mergeCells count="1">
    <mergeCell ref="A1:E1"/>
  </mergeCells>
  <conditionalFormatting sqref="E6:E26">
    <cfRule type="containsText" dxfId="0" priority="1" operator="containsText" text="Yes">
      <formula>NOT(ISERROR(SEARCH(("Yes"),(E6))))</formula>
    </cfRule>
  </conditionalFormatting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Test Cases</vt:lpstr>
      <vt:lpstr>Test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gaviria silerio</cp:lastModifiedBy>
  <dcterms:modified xsi:type="dcterms:W3CDTF">2026-09-15T18:43:43Z</dcterms:modified>
</cp:coreProperties>
</file>